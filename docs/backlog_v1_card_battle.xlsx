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cklog" sheetId="1" state="visible" r:id="rId3"/>
    <sheet name="Milestones" sheetId="2" state="visible" r:id="rId4"/>
    <sheet name="Open decisions" sheetId="3" state="visible" r:id="rId5"/>
    <sheet name="Legend" sheetId="4" state="visible" r:id="rId6"/>
  </sheets>
  <definedNames>
    <definedName function="false" hidden="true" localSheetId="0" name="_xlnm._FilterDatabase" vbProcedure="false">Backlog!$A$1:$K$64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<sst xmlns="http://schemas.openxmlformats.org/spreadsheetml/2006/main" count="789" uniqueCount="450">
  <si>
    <t xml:space="preserve">ID</t>
  </si>
  <si>
    <t xml:space="preserve">Lot</t>
  </si>
  <si>
    <t xml:space="preserve">Task</t>
  </si>
  <si>
    <t xml:space="preserve">Scope and detail</t>
  </si>
  <si>
    <t xml:space="preserve">Reference</t>
  </si>
  <si>
    <t xml:space="preserve">Depends on</t>
  </si>
  <si>
    <t xml:space="preserve">Complexity</t>
  </si>
  <si>
    <t xml:space="preserve">Risk</t>
  </si>
  <si>
    <t xml:space="preserve">Watch point</t>
  </si>
  <si>
    <t xml:space="preserve">Acceptance criteria</t>
  </si>
  <si>
    <t xml:space="preserve">Status</t>
  </si>
  <si>
    <t xml:space="preserve">L0-01</t>
  </si>
  <si>
    <t xml:space="preserve">0 · Project foundation</t>
  </si>
  <si>
    <t xml:space="preserve">Monorepo and tooling</t>
  </si>
  <si>
    <t xml:space="preserve">pnpm workspaces: apps/server, apps/client, packages/shared. Shared strict tsconfig, linter, test runner, client build tool. Node version pinned.</t>
  </si>
  <si>
    <t xml:space="preserve">Spec §3</t>
  </si>
  <si>
    <t xml:space="preserve">—</t>
  </si>
  <si>
    <t xml:space="preserve">M</t>
  </si>
  <si>
    <t xml:space="preserve">Low</t>
  </si>
  <si>
    <t xml:space="preserve">The spec doesn't mandate any specific tool. If you don't choose, the agent chooses for you.</t>
  </si>
  <si>
    <t xml:space="preserve">tsc and linter pass on all 3 packages, one trivial test passes</t>
  </si>
  <si>
    <t xml:space="preserve">To do</t>
  </si>
  <si>
    <t xml:space="preserve">L0-02</t>
  </si>
  <si>
    <t xml:space="preserve">Shared types</t>
  </si>
  <si>
    <t xml:space="preserve">GameState, Player, Card, Kit, PendingEffect, PersistentEffect, TurnLedger, ConnectionState in packages/shared. One single definition, imported by both server and client.</t>
  </si>
  <si>
    <t xml:space="preserve">Spec §4.1</t>
  </si>
  <si>
    <t xml:space="preserve">Medium</t>
  </si>
  <si>
    <t xml:space="preserve">Any duplicated domain type between client and server is immediate debt.</t>
  </si>
  <si>
    <t xml:space="preserve">No domain type defined twice anywhere in the repo</t>
  </si>
  <si>
    <t xml:space="preserve">L0-03</t>
  </si>
  <si>
    <t xml:space="preserve">Effect handler registry</t>
  </si>
  <si>
    <t xml:space="preserve">One typed handler per card, registered in a registry, sharing common primitives. No generic effect engine.</t>
  </si>
  <si>
    <t xml:space="preserve">L</t>
  </si>
  <si>
    <t xml:space="preserve">High</t>
  </si>
  <si>
    <t xml:space="preserve">Architecture decision not yet made. Without a ruling, the agent will produce a half-DSL that collapses on Cloning and Absorber.</t>
  </si>
  <si>
    <t xml:space="preserve">Adding a card modifies no existing file outside the registry</t>
  </si>
  <si>
    <t xml:space="preserve">L0-04</t>
  </si>
  <si>
    <t xml:space="preserve">Life-loss primitives</t>
  </si>
  <si>
    <t xml:space="preserve">applyDamage: shield first, excess to lives, decrements active card counters. applyLifeLoss: neither shield nor counters. Two separate functions.</t>
  </si>
  <si>
    <t xml:space="preserve">Spec §4.2 · rules spec §1</t>
  </si>
  <si>
    <t xml:space="preserve">The single most silent error in the project. Neither the compiler nor the linter will catch it.</t>
  </si>
  <si>
    <t xml:space="preserve">A shield absorbs a hit and ignores a tax; only damage decrements counters</t>
  </si>
  <si>
    <t xml:space="preserve">L0-05</t>
  </si>
  <si>
    <t xml:space="preserve">Seeded randomness</t>
  </si>
  <si>
    <t xml:space="preserve">Seeded pseudo-random generator, injected everywhere a draw happens: card distribution, Sentence, special card purchase, Mirror's default target.</t>
  </si>
  <si>
    <t xml:space="preserve">Spec §8</t>
  </si>
  <si>
    <t xml:space="preserve">S</t>
  </si>
  <si>
    <t xml:space="preserve">Without a seed, no distribution or Sentence test is reproducible.</t>
  </si>
  <si>
    <t xml:space="preserve">Two games launched with the same seed produce an identical distribution</t>
  </si>
  <si>
    <t xml:space="preserve">L0-06</t>
  </si>
  <si>
    <t xml:space="preserve">Colyseus server and client connection</t>
  </si>
  <si>
    <t xml:space="preserve">Empty server-side room, React client connecting to it and displaying the received state.</t>
  </si>
  <si>
    <t xml:space="preserve">Two tabs connected to the same room see the same state</t>
  </si>
  <si>
    <t xml:space="preserve">L1-01</t>
  </si>
  <si>
    <t xml:space="preserve">1 · Vertical slice</t>
  </si>
  <si>
    <t xml:space="preserve">Home screen and game creation</t>
  </si>
  <si>
    <t xml:space="preserve">createRoom generates a game code, joinRoom joins by code, nickname entry.</t>
  </si>
  <si>
    <t xml:space="preserve">Spec §5.2 · §7</t>
  </si>
  <si>
    <t xml:space="preserve">One player creates, a second joins by code, both see each other</t>
  </si>
  <si>
    <t xml:space="preserve">L1-02</t>
  </si>
  <si>
    <t xml:space="preserve">Lobby and launch</t>
  </si>
  <si>
    <t xml:space="preserve">List of connected players. Host launches from 2 players onward. Rejected beyond 4.</t>
  </si>
  <si>
    <t xml:space="preserve">Launch rejected at 1 player, entry rejected for a 5th</t>
  </si>
  <si>
    <t xml:space="preserve">L1-03</t>
  </si>
  <si>
    <t xml:space="preserve">Initial state and turn order</t>
  </si>
  <si>
    <t xml:space="preserve">GameState creation, stable turn order, starting resources as placeholder values (kits arrive in lot 4).</t>
  </si>
  <si>
    <t xml:space="preserve">L1-02, L0-05</t>
  </si>
  <si>
    <t xml:space="preserve">Do not anticipate kits here. Hardcoded values assumed, replaced in lot 4.</t>
  </si>
  <si>
    <t xml:space="preserve">A 2-player game starts with a stable turn order</t>
  </si>
  <si>
    <t xml:space="preserve">L1-04</t>
  </si>
  <si>
    <t xml:space="preserve">Turn loop</t>
  </si>
  <si>
    <t xml:space="preserve">One action per turn, pass to the next player, increment turnSequence.</t>
  </si>
  <si>
    <t xml:space="preserve">Spec §4.3 · rules spec §6</t>
  </si>
  <si>
    <t xml:space="preserve">turnSequence serves as queuedAt for the effects queue: a global counter, never per player.</t>
  </si>
  <si>
    <t xml:space="preserve">A second action in the same turn is rejected</t>
  </si>
  <si>
    <t xml:space="preserve">L1-05</t>
  </si>
  <si>
    <t xml:space="preserve">Draw action</t>
  </si>
  <si>
    <t xml:space="preserve">The player gains a number of points equal to their kit's Draw value. No card gained.</t>
  </si>
  <si>
    <t xml:space="preserve">Rules spec §6</t>
  </si>
  <si>
    <t xml:space="preserve">The player gains the right number of points, their turn ends</t>
  </si>
  <si>
    <t xml:space="preserve">L1-06</t>
  </si>
  <si>
    <t xml:space="preserve">Turn timer</t>
  </si>
  <si>
    <t xml:space="preserve">30 seconds. Deadline computed and sent by the server. Automatic draw on expiry.</t>
  </si>
  <si>
    <t xml:space="preserve">Spec §5.5</t>
  </si>
  <si>
    <t xml:space="preserve">The deadline comes from the server. A client-only counter is bypassable and drifts.</t>
  </si>
  <si>
    <t xml:space="preserve">A turn with no action triggers a draw at 30s</t>
  </si>
  <si>
    <t xml:space="preserve">L1-07</t>
  </si>
  <si>
    <t xml:space="preserve">Delayed resolution queue</t>
  </si>
  <si>
    <t xml:space="preserve">pendingEffects per player. Resolution after the target has played their action, in ascending queuedAt order.</t>
  </si>
  <si>
    <t xml:space="preserve">The core of the game. An effect resolving before its target's action invalidates the entire bluffing mechanic.</t>
  </si>
  <si>
    <t xml:space="preserve">An effect queued on turn 1 only resolves on its target's turn, after their action</t>
  </si>
  <si>
    <t xml:space="preserve">L1-08</t>
  </si>
  <si>
    <t xml:space="preserve">Basic attack only</t>
  </si>
  <si>
    <t xml:space="preserve">A single card implemented: play, target, queue, resolve via applyDamage.</t>
  </si>
  <si>
    <t xml:space="preserve">Rules spec §2</t>
  </si>
  <si>
    <t xml:space="preserve">L1-07, L0-04</t>
  </si>
  <si>
    <t xml:space="preserve">Do not add the other two attacks here. They arrive in lot 2.</t>
  </si>
  <si>
    <t xml:space="preserve">The target loses 1 life at the right moment, never before their turn</t>
  </si>
  <si>
    <t xml:space="preserve">L1-09</t>
  </si>
  <si>
    <t xml:space="preserve">Per-recipient view</t>
  </si>
  <si>
    <t xml:space="preserve">The server builds one state per player. Private: kit, hand, exact resource values. Public: actions played, effects queue, lives, shield, card count.</t>
  </si>
  <si>
    <t xml:space="preserve">Spec §5.1 · rules spec §6</t>
  </si>
  <si>
    <t xml:space="preserve">Do this now, not later. Filtering added after the fact leaks any field added afterward.</t>
  </si>
  <si>
    <t xml:space="preserve">The payload received by a client never contains an opponent's hand</t>
  </si>
  <si>
    <t xml:space="preserve">L1-10</t>
  </si>
  <si>
    <t xml:space="preserve">actionPlayed and actionResolved</t>
  </si>
  <si>
    <t xml:space="preserve">Two distinct events: the first broadcast as soon as the action is played, the second on its resolution.</t>
  </si>
  <si>
    <t xml:space="preserve">Spec §5.3</t>
  </si>
  <si>
    <t xml:space="preserve">L1-07, L1-09</t>
  </si>
  <si>
    <t xml:space="preserve">Conflating them breaks the public-actions visibility model.</t>
  </si>
  <si>
    <t xml:space="preserve">Both events arrive separately and in the right order</t>
  </si>
  <si>
    <t xml:space="preserve">L1-11</t>
  </si>
  <si>
    <t xml:space="preserve">Server-side validation</t>
  </si>
  <si>
    <t xml:space="preserve">Full revalidation of every action: card ownership, sufficient resources, whose turn it is, valid target.</t>
  </si>
  <si>
    <t xml:space="preserve">Spec §5.4</t>
  </si>
  <si>
    <t xml:space="preserve">A greyed-out client button is not validation.</t>
  </si>
  <si>
    <t xml:space="preserve">An action forged from the browser console is rejected</t>
  </si>
  <si>
    <t xml:space="preserve">L1-12</t>
  </si>
  <si>
    <t xml:space="preserve">Minimal game table</t>
  </si>
  <si>
    <t xml:space="preserve">Opponents, private zone, action log, pending effects queue, timer, draw and attack actions.</t>
  </si>
  <si>
    <t xml:space="preserve">Spec §7</t>
  </si>
  <si>
    <t xml:space="preserve">The action log is the screen's main organ, not a secondary panel.</t>
  </si>
  <si>
    <t xml:space="preserve">A 2-player game is fully playable from the interface</t>
  </si>
  <si>
    <t xml:space="preserve">L1-13</t>
  </si>
  <si>
    <t xml:space="preserve">Elimination and victory</t>
  </si>
  <si>
    <t xml:space="preserve">Elimination at 0 lives, last survivor wins, summary end screen.</t>
  </si>
  <si>
    <t xml:space="preserve">Rules spec §6 · §7</t>
  </si>
  <si>
    <t xml:space="preserve">Elimination rewards are out of scope here: lot 6.</t>
  </si>
  <si>
    <t xml:space="preserve">A 2-player game ends and displays the winner</t>
  </si>
  <si>
    <t xml:space="preserve">L2-01</t>
  </si>
  <si>
    <t xml:space="preserve">2 · Economy and attacks</t>
  </si>
  <si>
    <t xml:space="preserve">Buying and selling cards</t>
  </si>
  <si>
    <t xml:space="preserve">Purchase at double the usage cost from an infinite stock. Sale at usage cost. The sold card joins the pool.</t>
  </si>
  <si>
    <t xml:space="preserve">Rules spec §1</t>
  </si>
  <si>
    <t xml:space="preserve">Points change correctly, the card enters or leaves the hand</t>
  </si>
  <si>
    <t xml:space="preserve">L2-02</t>
  </si>
  <si>
    <t xml:space="preserve">Upgrade points</t>
  </si>
  <si>
    <t xml:space="preserve">Purchase at 10 points, resale at 7 points.</t>
  </si>
  <si>
    <t xml:space="preserve">Cost modifiable by a kit ability (Upgrader, out of V1): do not hardcode 10 into the logic.</t>
  </si>
  <si>
    <t xml:space="preserve">Purchase and resale correct</t>
  </si>
  <si>
    <t xml:space="preserve">L2-03</t>
  </si>
  <si>
    <t xml:space="preserve">Card upgrade</t>
  </si>
  <si>
    <t xml:space="preserve">1 upgrade point, permanent for the game, applied to one specific copy.</t>
  </si>
  <si>
    <t xml:space="preserve">The upgrade applies to one copy, unless a permanent kit trait overrides it (lot 4).</t>
  </si>
  <si>
    <t xml:space="preserve">Only one copy upgraded, other copies unchanged</t>
  </si>
  <si>
    <t xml:space="preserve">L2-04</t>
  </si>
  <si>
    <t xml:space="preserve">The three attack cards</t>
  </si>
  <si>
    <t xml:space="preserve">Basic attack, Strong attack, Super attack, base and upgraded versions.</t>
  </si>
  <si>
    <t xml:space="preserve">Check all six values one by one against the spec's table: a damage error triggers no alert.</t>
  </si>
  <si>
    <t xml:space="preserve">All 6 combinations tested, values conforming to the spec</t>
  </si>
  <si>
    <t xml:space="preserve">L2-05</t>
  </si>
  <si>
    <t xml:space="preserve">Mutual attacks</t>
  </si>
  <si>
    <t xml:space="preserve">Equal damage: both attacks cancel out, on the retaliating player's turn. Different damage: no interaction, each resolves on its own normal turn.</t>
  </si>
  <si>
    <t xml:space="preserve">Spec §4.6</t>
  </si>
  <si>
    <t xml:space="preserve">Rules spec §6 line 243 and note §2 line 55 still contradict this rule as of this upload. Fix the spec BEFORE implementing.</t>
  </si>
  <si>
    <t xml:space="preserve">Both cases tested, plus a 3-player case with no reciprocity</t>
  </si>
  <si>
    <t xml:space="preserve">L2-06</t>
  </si>
  <si>
    <t xml:space="preserve">Shared pool</t>
  </si>
  <si>
    <t xml:space="preserve">Fed by sales, used special cards, and eliminated players' cards. Write-only in V1.</t>
  </si>
  <si>
    <t xml:space="preserve">Rules spec §1 · Spec §6.3</t>
  </si>
  <si>
    <t xml:space="preserve">No V1 card reads from the pool. Do not invent a use for it.</t>
  </si>
  <si>
    <t xml:space="preserve">The pool fills correctly, nothing consumes it</t>
  </si>
  <si>
    <t xml:space="preserve">L3-01</t>
  </si>
  <si>
    <t xml:space="preserve">3 · Action cards</t>
  </si>
  <si>
    <t xml:space="preserve">Tax</t>
  </si>
  <si>
    <t xml:space="preserve">1-life cost via applyLifeLoss. Gain 4 points, 6 in the upgraded version. The life cost always applies.</t>
  </si>
  <si>
    <t xml:space="preserve">Rules spec §3</t>
  </si>
  <si>
    <t xml:space="preserve">Never applyDamage. A 1-life player can kill themself: elimination without reward (lot 6).</t>
  </si>
  <si>
    <t xml:space="preserve">The shield does not intervene, no counter decrements</t>
  </si>
  <si>
    <t xml:space="preserve">L3-02</t>
  </si>
  <si>
    <t xml:space="preserve">Regeneration</t>
  </si>
  <si>
    <t xml:space="preserve">Up to 4 lives per use, 3 points per life, 2 points in the upgraded version. 25-life cap.</t>
  </si>
  <si>
    <t xml:space="preserve">Rules spec §3 · §7</t>
  </si>
  <si>
    <t xml:space="preserve">The 25-life cap applies here like on every other source of gain.</t>
  </si>
  <si>
    <t xml:space="preserve">Gain capped, excess lost</t>
  </si>
  <si>
    <t xml:space="preserve">L3-03</t>
  </si>
  <si>
    <t xml:space="preserve">Shield</t>
  </si>
  <si>
    <t xml:space="preserve">4 shield points, 7 in the upgraded version. Only one active shield at a time. The upgraded version blocks Thief and Spy at no shield-point cost.</t>
  </si>
  <si>
    <t xml:space="preserve">Partially overlaps with Untouchable's immunity (lot 4): redundant but no conflict.</t>
  </si>
  <si>
    <t xml:space="preserve">Recreation rejected while a shield is active</t>
  </si>
  <si>
    <t xml:space="preserve">L3-04</t>
  </si>
  <si>
    <t xml:space="preserve">Thief</t>
  </si>
  <si>
    <t xml:space="preserve">Steals 10 points, capped at the target's amount. Upgraded version: the target loses the same amount, the user gains double.</t>
  </si>
  <si>
    <t xml:space="preserve">The theft must be flagged as such in the TurnLedger: it's excluded from upgraded Absorber's capture.</t>
  </si>
  <si>
    <t xml:space="preserve">A target with 3 points loses 3, not 10</t>
  </si>
  <si>
    <t xml:space="preserve">L3-05</t>
  </si>
  <si>
    <t xml:space="preserve">Spy and visibility matrix</t>
  </si>
  <si>
    <t xml:space="preserve">See the target's kit and cards until the end of the game. Upgraded version: also see all their resources. A who-sees-what-of-whom matrix in a dedicated module.</t>
  </si>
  <si>
    <t xml:space="preserve">Rules spec §3 · Spec §5.1</t>
  </si>
  <si>
    <t xml:space="preserve">Persistent, asymmetric right, checked on every view construction. A global boolean is not enough.</t>
  </si>
  <si>
    <t xml:space="preserve">The spied-on player stays invisible to others, the spy sees everything</t>
  </si>
  <si>
    <t xml:space="preserve">L3-06</t>
  </si>
  <si>
    <t xml:space="preserve">Counter rule</t>
  </si>
  <si>
    <t xml:space="preserve">Spy, Thief, and Mirror only. The countering card must target the source of the pending effect. Both effects cancel, both costs are paid.</t>
  </si>
  <si>
    <t xml:space="preserve">Rules spec §1 · Spec §4.7</t>
  </si>
  <si>
    <t xml:space="preserve">Never applies to attack cards: those fall under L2-05.</t>
  </si>
  <si>
    <t xml:space="preserve">Same card played on a third party: no cancellation</t>
  </si>
  <si>
    <t xml:space="preserve">L3-07</t>
  </si>
  <si>
    <t xml:space="preserve">Turn ledger</t>
  </si>
  <si>
    <t xml:space="preserve">Per player, for their most recent complete turn: lives lost from all causes, points and upgrade points actively spent, resources lost to theft.</t>
  </si>
  <si>
    <t xml:space="preserve">Spec §4.4</t>
  </si>
  <si>
    <t xml:space="preserve">A state diff is not enough: it must distinguish what was spent from what was stolen.</t>
  </si>
  <si>
    <t xml:space="preserve">The ledger correctly distinguishes active spending from third-party theft</t>
  </si>
  <si>
    <t xml:space="preserve">L3-08</t>
  </si>
  <si>
    <t xml:space="preserve">Absorber</t>
  </si>
  <si>
    <t xml:space="preserve">Gains the lives lost by the target during their last complete turn, resolution included. Upgraded version: also captures active spending.</t>
  </si>
  <si>
    <t xml:space="preserve">Does not allow absorbing one's own lost lives. Gain subject to the 25-life cap.</t>
  </si>
  <si>
    <t xml:space="preserve">Correct absorption after a turn where the target suffered an attack and paid a tax</t>
  </si>
  <si>
    <t xml:space="preserve">L3-09</t>
  </si>
  <si>
    <t xml:space="preserve">Mirror</t>
  </si>
  <si>
    <t xml:space="preserve">Redirects a non-upgraded attack pending against the user. Choice among several. Unlimited redirection chain. Upgraded version: also redirects upgraded attacks and doubles the redirected attack's damage.</t>
  </si>
  <si>
    <t xml:space="preserve">20s sub-choice, default = first attack in the queue toward a randomly drawn opponent. Invalid action if nothing pending. A redirection can create a mutual-attack pair.</t>
  </si>
  <si>
    <t xml:space="preserve">3-player chain tested, invalid case rejected, default applied on expiry</t>
  </si>
  <si>
    <t xml:space="preserve">L4-01</t>
  </si>
  <si>
    <t xml:space="preserve">4 · Kits</t>
  </si>
  <si>
    <t xml:space="preserve">Kit model and traits</t>
  </si>
  <si>
    <t xml:space="preserve">Traits: alwaysUpgraded, immuneTo, allowsMultipleAttacksPerTurn. Checked on every card acquisition.</t>
  </si>
  <si>
    <t xml:space="preserve">Spec §4.5 · rules spec §4</t>
  </si>
  <si>
    <t xml:space="preserve">alwaysUpgraded is not a flag set at distribution: it applies to any later acquisition and to every held copy.</t>
  </si>
  <si>
    <t xml:space="preserve">The trait applies to a card acquired after the start of the game</t>
  </si>
  <si>
    <t xml:space="preserve">L4-02</t>
  </si>
  <si>
    <t xml:space="preserve">Starting distribution</t>
  </si>
  <si>
    <t xml:space="preserve">Kit resources, random draw of action and attack cards per the roster's quantities, duplicates possible, kit's special cards.</t>
  </si>
  <si>
    <t xml:space="preserve">Rules spec §4 · §6</t>
  </si>
  <si>
    <t xml:space="preserve">L4-01, L0-05</t>
  </si>
  <si>
    <t xml:space="preserve">Replaces the placeholder values from lot 1 (L1-03).</t>
  </si>
  <si>
    <t xml:space="preserve">Quantities conforming to the roster for the 4 kits in the lot</t>
  </si>
  <si>
    <t xml:space="preserve">L4-03</t>
  </si>
  <si>
    <t xml:space="preserve">Kamikaze and Untouchable</t>
  </si>
  <si>
    <t xml:space="preserve">Starting stats for both kits. Untouchable: immunity to Thief and Spy.</t>
  </si>
  <si>
    <t xml:space="preserve">Rules spec §4</t>
  </si>
  <si>
    <t xml:space="preserve">Should the immunity block Spy Thief? Not yet ruled on, see Open decisions tab.</t>
  </si>
  <si>
    <t xml:space="preserve">Thief and Spy have no effect on Untouchable</t>
  </si>
  <si>
    <t xml:space="preserve">L4-04</t>
  </si>
  <si>
    <t xml:space="preserve">Scientific</t>
  </si>
  <si>
    <t xml:space="preserve">alwaysUpgraded trait on Spy, permanent and free.</t>
  </si>
  <si>
    <t xml:space="preserve">Mandatory test: a Spy card bought mid-game arrives already upgraded, and every held copy is too.</t>
  </si>
  <si>
    <t xml:space="preserve">Purchase on turn 12: card upgraded without consuming an upgrade point</t>
  </si>
  <si>
    <t xml:space="preserve">L4-05</t>
  </si>
  <si>
    <t xml:space="preserve">Assassin and multiple attacks</t>
  </si>
  <si>
    <t xml:space="preserve">Several attack cards count as a single action. Each attack targets freely and keeps its own independent resolution.</t>
  </si>
  <si>
    <t xml:space="preserve">Rules spec §4 · Spec §5.2</t>
  </si>
  <si>
    <t xml:space="preserve">Stays within the 30s turn: this is not a sub-choice. Each attack creates its own pendingEffect.</t>
  </si>
  <si>
    <t xml:space="preserve">3 attacks played in one turn, independent resolutions</t>
  </si>
  <si>
    <t xml:space="preserve">L5-01</t>
  </si>
  <si>
    <t xml:space="preserve">5 · Special cards</t>
  </si>
  <si>
    <t xml:space="preserve">Special card model</t>
  </si>
  <si>
    <t xml:space="preserve">Single use, not purchasable individually, upgrade lost on use, joins the pool after use.</t>
  </si>
  <si>
    <t xml:space="preserve">Rules spec §5</t>
  </si>
  <si>
    <t xml:space="preserve">A used card permanently disappears from the hand</t>
  </si>
  <si>
    <t xml:space="preserve">L5-02</t>
  </si>
  <si>
    <t xml:space="preserve">Internal counters</t>
  </si>
  <si>
    <t xml:space="preserve">Points Generator 3, Imposition 2. Decrements by 1 each time the user loses a life to damage. At 0, the card deactivates and is lost.</t>
  </si>
  <si>
    <t xml:space="preserve">L5-01, L0-04</t>
  </si>
  <si>
    <t xml:space="preserve">The counter does not protect the user. Only applyDamage decrements it, never applyLifeLoss.</t>
  </si>
  <si>
    <t xml:space="preserve">A tax does not decrement the counter, an attack does</t>
  </si>
  <si>
    <t xml:space="preserve">L5-03</t>
  </si>
  <si>
    <t xml:space="preserve">Suicide</t>
  </si>
  <si>
    <t xml:space="preserve">Base: the user is eliminated on their next turn, all opponents lose 5 lives and all their points, no reward for anyone. Upgraded: the user survives and becomes the eliminator.</t>
  </si>
  <si>
    <t xml:space="preserve">Life loss outside of attack. Each opponent plays one turn before the user's next turn: every effect resolves before their elimination.</t>
  </si>
  <si>
    <t xml:space="preserve">Partial case tested: 2 of 3 opponents eliminated, the user dies afterward</t>
  </si>
  <si>
    <t xml:space="preserve">L5-04</t>
  </si>
  <si>
    <t xml:space="preserve">Spy Thief</t>
  </si>
  <si>
    <t xml:space="preserve">Steals all points from all opponents with no cap and spies on all of them. Upgraded: points doubled and all resources visible.</t>
  </si>
  <si>
    <t xml:space="preserve">L3-05, L4-03</t>
  </si>
  <si>
    <t xml:space="preserve">Interaction with Untouchable's immunity not yet ruled on — Untouchable holds this very card.</t>
  </si>
  <si>
    <t xml:space="preserve">Theft and spying applied to all opponents simultaneously</t>
  </si>
  <si>
    <t xml:space="preserve">L5-05</t>
  </si>
  <si>
    <t xml:space="preserve">Imposition</t>
  </si>
  <si>
    <t xml:space="preserve">Each opponent cedes 2 points per turn, or 1 life if they don't have enough, which the user gains. Upgraded: 4 points or 2 lives.</t>
  </si>
  <si>
    <t xml:space="preserve">Periodic effect triggered on the target's turn, after their action. The life gain is subject to the 25-life cap.</t>
  </si>
  <si>
    <t xml:space="preserve">Target with 1 point: they cede 1 life, the user gains it</t>
  </si>
  <si>
    <t xml:space="preserve">L5-06</t>
  </si>
  <si>
    <t xml:space="preserve">Cloning</t>
  </si>
  <si>
    <t xml:space="preserve">Full state replacement with an opponent's. Cancels pending effects against the user, inherits none from the target, resets visibility to zero both ways.</t>
  </si>
  <si>
    <t xml:space="preserve">L3-05, L4-01</t>
  </si>
  <si>
    <t xml:space="preserve">The clone inherits the kit, therefore its traits. Upgraded version: +10 points, +2 upgrade points, +4 lives, 25-cap applied.</t>
  </si>
  <si>
    <t xml:space="preserve">Visibility wiped both ways, incoming effects queue cleared</t>
  </si>
  <si>
    <t xml:space="preserve">L5-07</t>
  </si>
  <si>
    <t xml:space="preserve">Sentence</t>
  </si>
  <si>
    <t xml:space="preserve">Eliminates a randomly drawn player among everyone in the game, user included. Upgraded: the user is excluded from the draw.</t>
  </si>
  <si>
    <t xml:space="preserve">L0-05, L5-01</t>
  </si>
  <si>
    <t xml:space="preserve">Self-elimination: no reward for anyone, cards to the pool.</t>
  </si>
  <si>
    <t xml:space="preserve">Reproducible draw with a fixed seed, self-targeting possible in the base version</t>
  </si>
  <si>
    <t xml:space="preserve">L5-08</t>
  </si>
  <si>
    <t xml:space="preserve">Points Generator</t>
  </si>
  <si>
    <t xml:space="preserve">2 points per turn, 4 in the upgraded version, as long as the internal counter isn't depleted.</t>
  </si>
  <si>
    <t xml:space="preserve">Gain on the user's turn, stops at zero counter</t>
  </si>
  <si>
    <t xml:space="preserve">L5-09</t>
  </si>
  <si>
    <t xml:space="preserve">Special card purchase</t>
  </si>
  <si>
    <t xml:space="preserve">20 points, random draw restricted to the 6 special cards in the V1 lot.</t>
  </si>
  <si>
    <t xml:space="preserve">Rules spec §5 · Spec §6.2</t>
  </si>
  <si>
    <t xml:space="preserve">L5-01, L0-05</t>
  </si>
  <si>
    <t xml:space="preserve">V1 scope restriction, not a game rule. Do not draw from the full 20-card list.</t>
  </si>
  <si>
    <t xml:space="preserve">Only the 6 cards in the lot can come out of the draw</t>
  </si>
  <si>
    <t xml:space="preserve">L6-01</t>
  </si>
  <si>
    <t xml:space="preserve">6 · Elimination</t>
  </si>
  <si>
    <t xml:space="preserve">Elimination rewards</t>
  </si>
  <si>
    <t xml:space="preserve">The eliminator picks 2 rewards among: 4 lives, 8 points, a card from the eliminated player, an upgrade point. Both choices can be identical.</t>
  </si>
  <si>
    <t xml:space="preserve">The life gain is subject to the 25-life cap.</t>
  </si>
  <si>
    <t xml:space="preserve">Both choices applied correctly, card transferred if chosen</t>
  </si>
  <si>
    <t xml:space="preserve">L6-02</t>
  </si>
  <si>
    <t xml:space="preserve">Multiple elimination</t>
  </si>
  <si>
    <t xml:space="preserve">2 rewards per eliminated player, cumulative, choices chainable.</t>
  </si>
  <si>
    <t xml:space="preserve">Rules spec §6 · Spec §6.2</t>
  </si>
  <si>
    <t xml:space="preserve">Upgraded Suicide can trigger several at once: up to 6 choices in a row at 4 players.</t>
  </si>
  <si>
    <t xml:space="preserve">Full choice sequence playable without getting stuck</t>
  </si>
  <si>
    <t xml:space="preserve">L6-03</t>
  </si>
  <si>
    <t xml:space="preserve">Reward sub-choice</t>
  </si>
  <si>
    <t xml:space="preserve">20s timer per choice. On expiry: 2 × 4 lives granted by default.</t>
  </si>
  <si>
    <t xml:space="preserve">Spec §5.5 · §5.6</t>
  </si>
  <si>
    <t xml:space="preserve">Never silently waste an already-paid card.</t>
  </si>
  <si>
    <t xml:space="preserve">On expiry, lives are granted with no intervention</t>
  </si>
  <si>
    <t xml:space="preserve">L6-04</t>
  </si>
  <si>
    <t xml:space="preserve">Elimination without an eliminator</t>
  </si>
  <si>
    <t xml:space="preserve">Tax's life cost, self-targeted Sentence, non-upgraded Suicide, elimination by absence: no reward, cards to the pool.</t>
  </si>
  <si>
    <t xml:space="preserve">L6-01, L2-06</t>
  </si>
  <si>
    <t xml:space="preserve">No player receives a reward, the pool receives the cards</t>
  </si>
  <si>
    <t xml:space="preserve">L6-05</t>
  </si>
  <si>
    <t xml:space="preserve">Simultaneous eliminators</t>
  </si>
  <si>
    <t xml:space="preserve">Reward goes to the eliminator with the fewest remaining lives, then fewest points, then a random draw among ties.</t>
  </si>
  <si>
    <t xml:space="preserve">L6-01, L0-05</t>
  </si>
  <si>
    <t xml:space="preserve">Italicized clause in the spec: status to confirm (validated rule or hypothesis). See Open decisions tab.</t>
  </si>
  <si>
    <t xml:space="preserve">Correct tie-break in all three scenarios</t>
  </si>
  <si>
    <t xml:space="preserve">L7-01</t>
  </si>
  <si>
    <t xml:space="preserve">7 · Robustness</t>
  </si>
  <si>
    <t xml:space="preserve">Reconnection window</t>
  </si>
  <si>
    <t xml:space="preserve">60 seconds triggered the instant of disconnection, in real time, independent of the current turn. Reconnection before expiry: no effect.</t>
  </si>
  <si>
    <t xml:space="preserve">Spec §5.7</t>
  </si>
  <si>
    <t xml:space="preserve">The counter starts at disconnection, not at the player's turn.</t>
  </si>
  <si>
    <t xml:space="preserve">40s disconnection then reconnection: no consequence</t>
  </si>
  <si>
    <t xml:space="preserve">L7-02</t>
  </si>
  <si>
    <t xml:space="preserve">Absent player</t>
  </si>
  <si>
    <t xml:space="preserve">Beyond 60s: immediate draw on each of their turns, without waiting the 30s. Elimination after 3 automatic turns, no reward. Remains a valid target.</t>
  </si>
  <si>
    <t xml:space="preserve">L7-01, L6-04</t>
  </si>
  <si>
    <t xml:space="preserve">Any reconnection resets both the 60-second window and the 3-turn counter.</t>
  </si>
  <si>
    <t xml:space="preserve">Elimination on the 3rd automatic turn, cards to the pool</t>
  </si>
  <si>
    <t xml:space="preserve">L7-03</t>
  </si>
  <si>
    <t xml:space="preserve">Connected inactivity</t>
  </si>
  <si>
    <t xml:space="preserve">The 30-second timer expires, the player draws. Elimination after 5 consecutive expired turns.</t>
  </si>
  <si>
    <t xml:space="preserve">Independent mechanism from disconnection, threshold deliberately higher.</t>
  </si>
  <si>
    <t xml:space="preserve">Elimination on the 5th consecutive expired turn</t>
  </si>
  <si>
    <t xml:space="preserve">L7-04</t>
  </si>
  <si>
    <t xml:space="preserve">Win by forfeit</t>
  </si>
  <si>
    <t xml:space="preserve">At 2 players, elimination by absence or inactivity gives the win to the remaining player.</t>
  </si>
  <si>
    <t xml:space="preserve">Game end correctly declared</t>
  </si>
  <si>
    <t xml:space="preserve">L7-05</t>
  </si>
  <si>
    <t xml:space="preserve">3 and 4-player games</t>
  </si>
  <si>
    <t xml:space="preserve">Full playthroughs with the 4 kits, special cards, disconnections, and sub-choices.</t>
  </si>
  <si>
    <t xml:space="preserve">Spec §1</t>
  </si>
  <si>
    <t xml:space="preserve">L7-04, L5-09</t>
  </si>
  <si>
    <t xml:space="preserve">Central goal of V1: a 4-player game plays start to finish without getting stuck.</t>
  </si>
  <si>
    <t xml:space="preserve">Three 4-player games completed with no stuck state or inconsistency</t>
  </si>
  <si>
    <t xml:space="preserve">L8-01</t>
  </si>
  <si>
    <t xml:space="preserve">8 · Game log</t>
  </si>
  <si>
    <t xml:space="preserve">Log schema</t>
  </si>
  <si>
    <t xml:space="preserve">Table of finished games: kits distributed, winner, turn count, cards played per player, eliminations and their cause, final resources.</t>
  </si>
  <si>
    <t xml:space="preserve">Define this BEFORE the first playtests. A game not logged is lost forever for balancing.</t>
  </si>
  <si>
    <t xml:space="preserve">The schema covers the metrics needed for the future balancing work</t>
  </si>
  <si>
    <t xml:space="preserve">L8-02</t>
  </si>
  <si>
    <t xml:space="preserve">End-of-game write</t>
  </si>
  <si>
    <t xml:space="preserve">One single Postgres write, at the end of each game. Never the state of an in-progress game.</t>
  </si>
  <si>
    <t xml:space="preserve">A write failure must never interrupt or invalidate the game.</t>
  </si>
  <si>
    <t xml:space="preserve">The game writes once, in-progress state is never persisted</t>
  </si>
  <si>
    <t xml:space="preserve">L9-01</t>
  </si>
  <si>
    <t xml:space="preserve">9 · Polish</t>
  </si>
  <si>
    <t xml:space="preserve">Visible degraded states</t>
  </si>
  <si>
    <t xml:space="preserve">Absent player, automatic-turn counter before elimination, turn and sub-choice timers.</t>
  </si>
  <si>
    <t xml:space="preserve">States are readable without opening the console</t>
  </si>
  <si>
    <t xml:space="preserve">L9-02</t>
  </si>
  <si>
    <t xml:space="preserve">Browsable action log</t>
  </si>
  <si>
    <t xml:space="preserve">Complete history since the start of the game, including card identity, purchases and upgrades included.</t>
  </si>
  <si>
    <t xml:space="preserve">Every action is public: the log is the players' primary source of information.</t>
  </si>
  <si>
    <t xml:space="preserve">A player can browse the entire game's history</t>
  </si>
  <si>
    <t xml:space="preserve">L9-03</t>
  </si>
  <si>
    <t xml:space="preserve">End screen</t>
  </si>
  <si>
    <t xml:space="preserve">Winner and game recap, return to home.</t>
  </si>
  <si>
    <t xml:space="preserve">Screen displayed at game end, return to home works</t>
  </si>
  <si>
    <t xml:space="preserve">Milestone</t>
  </si>
  <si>
    <t xml:space="preserve">Reached at the end of</t>
  </si>
  <si>
    <t xml:space="preserve">What must be true</t>
  </si>
  <si>
    <t xml:space="preserve">Expected proof</t>
  </si>
  <si>
    <t xml:space="preserve">Task count</t>
  </si>
  <si>
    <t xml:space="preserve">M1</t>
  </si>
  <si>
    <t xml:space="preserve">Lot 1 · Vertical slice</t>
  </si>
  <si>
    <t xml:space="preserve">Two players play a complete game with a single attack card.</t>
  </si>
  <si>
    <t xml:space="preserve">Delayed resolution works, hidden information is verified by an automated test, the timer triggers a draw, a winner is declared.</t>
  </si>
  <si>
    <t xml:space="preserve">M2</t>
  </si>
  <si>
    <t xml:space="preserve">Lot 3 · Action cards</t>
  </si>
  <si>
    <t xml:space="preserve">The full economy and the 10 shared cards work.</t>
  </si>
  <si>
    <t xml:space="preserve">20 card tests green, visibility matrix isolated in its own module, turn ledger reliably distinguishes spending from theft.</t>
  </si>
  <si>
    <t xml:space="preserve">M3</t>
  </si>
  <si>
    <t xml:space="preserve">Lot 5 · Special cards</t>
  </si>
  <si>
    <t xml:space="preserve">The 4 kits and 6 special cards are playable.</t>
  </si>
  <si>
    <t xml:space="preserve">32 card tests green, kit traits verified on late acquisition, internal counters correct.</t>
  </si>
  <si>
    <t xml:space="preserve">M4</t>
  </si>
  <si>
    <t xml:space="preserve">Lot 7 · Robustness</t>
  </si>
  <si>
    <t xml:space="preserve">A 4-player game plays start to finish, disconnections and inactivity handled.</t>
  </si>
  <si>
    <t xml:space="preserve">Three 4-player games completed with no stuck state. This is the milestone that authorizes playtesting with friends.</t>
  </si>
  <si>
    <t xml:space="preserve">M5</t>
  </si>
  <si>
    <t xml:space="preserve">Lots 8 and 9</t>
  </si>
  <si>
    <t xml:space="preserve">The game log records data, the interface is readable.</t>
  </si>
  <si>
    <t xml:space="preserve">A finished game produces one usable row in the database. Ready for balancing-data collection.</t>
  </si>
  <si>
    <t xml:space="preserve">Task count = number of tasks in the lot named in column B only, not the cumulative count since the start.</t>
  </si>
  <si>
    <t xml:space="preserve">#</t>
  </si>
  <si>
    <t xml:space="preserve">Topic</t>
  </si>
  <si>
    <t xml:space="preserve">What is not decided</t>
  </si>
  <si>
    <t xml:space="preserve">Blocks</t>
  </si>
  <si>
    <t xml:space="preserve">Recommendation</t>
  </si>
  <si>
    <t xml:space="preserve">Rules spec §6 and §2 not yet corrected</t>
  </si>
  <si>
    <t xml:space="preserve">The clause "the weaker attack is automatically cancelled; the stronger one continues" is still present at line 243, and the §2 note reinforces it at line 55. Both contradict the ruling this session locked in — in English just as much as in French.</t>
  </si>
  <si>
    <t xml:space="preserve">L2-05 · the entire attack logic</t>
  </si>
  <si>
    <t xml:space="preserve">Rewrite both paragraphs before starting lot 2. Two paragraphs, not a session — exact replacement wording provided alongside this backlog.</t>
  </si>
  <si>
    <t xml:space="preserve">Open</t>
  </si>
  <si>
    <t xml:space="preserve">Effect model</t>
  </si>
  <si>
    <t xml:space="preserve">A registry of typed handlers, one per card, versus a generic effect engine driven by data.</t>
  </si>
  <si>
    <t xml:space="preserve">L0-03 · the entire card structure</t>
  </si>
  <si>
    <t xml:space="preserve">Typed handler registry. Local readability, per-card testability, and the agent can't break Cloning while touching Absorber.</t>
  </si>
  <si>
    <t xml:space="preserve">Tooling</t>
  </si>
  <si>
    <t xml:space="preserve">Package manager, test runner, client build tool, Node version. The spec requires "clean tsc, clean linter, green tests" without naming any tool.</t>
  </si>
  <si>
    <t xml:space="preserve">Choose explicitly, or knowingly delegate to the agent and accept that you're delegating.</t>
  </si>
  <si>
    <t xml:space="preserve">Game log schema</t>
  </si>
  <si>
    <t xml:space="preserve">Which metrics to record for the future balancing work.</t>
  </si>
  <si>
    <t xml:space="preserve">L8-01 · and any serious playtest</t>
  </si>
  <si>
    <t xml:space="preserve">Define before the first game is played with friends. An unlogged game can never be recovered.</t>
  </si>
  <si>
    <t xml:space="preserve">The tie-break clause is italicized in the rules spec §6. In this document, italics seem to mark unvalidated hypotheses (as with the Duplicator).</t>
  </si>
  <si>
    <t xml:space="preserve">Confirm its status: validated rule or an untested hypothesis. If a hypothesis, pull it out of V1 scope.</t>
  </si>
  <si>
    <t xml:space="preserve">Untouchable's immunity against Spy Thief</t>
  </si>
  <si>
    <t xml:space="preserve">Its ability names "Thief and Spy". Spy Thief produces both effects under a different name. The case is reachable in V1: Untouchable holds this very card, and any other player can obtain it by purchase or elimination reward.</t>
  </si>
  <si>
    <t xml:space="preserve">Rule on this before lot 5. Literal reading: no immunity. Functional reading: immunity applies.</t>
  </si>
  <si>
    <t xml:space="preserve">Timers absent from the rules spec</t>
  </si>
  <si>
    <t xml:space="preserve">Turn timer, reconnection window, and elimination thresholds exist only in this technical spec.</t>
  </si>
  <si>
    <t xml:space="preserve">None — non-blocking</t>
  </si>
  <si>
    <t xml:space="preserve">Confirm this is a deliberate choice (video-game rules kept out of the rules spec) rather than an oversight of the update.</t>
  </si>
  <si>
    <t xml:space="preserve">How to read this backlog</t>
  </si>
  <si>
    <t xml:space="preserve">Sequencing principle</t>
  </si>
  <si>
    <t xml:space="preserve">The thinnest possible vertical slice first: a 2-player game playable with a single attack card (lot 1), then content stacks on top of it. Do not build all 16 cards before a single game runs end to end — integration problems are cheapest to catch early and most expensive to discover last.</t>
  </si>
  <si>
    <t xml:space="preserve">Execution order</t>
  </si>
  <si>
    <t xml:space="preserve">Follow the ID order. The "Depends on" column gives the strict prerequisites. Two tasks with no shared dependency can be run in parallel, but a solo developer gains little from that.</t>
  </si>
  <si>
    <t xml:space="preserve">S: one agent pass, quick review. M: several passes, careful review. L: to be broken into sub-tasks by the agent before any code is written.</t>
  </si>
  <si>
    <t xml:space="preserve">No time estimates in hours: with an agent, writing the code is no longer the bottleneck. Review and correction time is — and that depends on how clear the spec is, not on how much code gets written.</t>
  </si>
  <si>
    <t xml:space="preserve">High: an error here triggers no alert and surfaces weeks later. Read the produced code line by line, don't settle for green tests.</t>
  </si>
  <si>
    <t xml:space="preserve">Medium: error detectable while playing, but costly to fix after the fact.</t>
  </si>
  <si>
    <t xml:space="preserve">Low: error visible immediately.</t>
  </si>
  <si>
    <t xml:space="preserve">Three tasks to never defer</t>
  </si>
  <si>
    <t xml:space="preserve">L0-04 (the two life-loss primitives), L1-07 (the delayed resolution queue), and L1-09 (the per-recipient view). Each is a foundation: added after the fact, it forces a rework of everything built on top of it.</t>
  </si>
  <si>
    <t xml:space="preserve">References</t>
  </si>
  <si>
    <t xml:space="preserve">Rules spec §N refers to spec_bataille_des_cartes_en.md. Spec §N refers to technical_spec_v1.md. No rule is copied here: when in doubt, read the source.</t>
  </si>
  <si>
    <t xml:space="preserve">Out of scope</t>
  </si>
  <si>
    <t xml:space="preserve">The 11 remaining kits, Team / God / Quick modes, bots, user accounts, persistence of an in-progress game, monetization, art direction. See technical spec §9.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</si>
</sst>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8"/>
      <name val="Arial"/>
      <family val="0"/>
      <charset val="1"/>
    </font>
    <font>
      <b val="true"/>
      <sz val="13"/>
      <color rgb="FF1F386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  <fill>
      <patternFill patternType="solid">
        <fgColor rgb="FFFFE699"/>
        <bgColor rgb="FFF8CBAD"/>
      </patternFill>
    </fill>
    <fill>
      <patternFill patternType="solid">
        <fgColor rgb="FFF8CBAD"/>
        <bgColor rgb="FFFFE69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2F3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58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8" min="8" style="0" width="9"/>
    <col collapsed="false" customWidth="true" hidden="false" outlineLevel="0" max="9" min="9" style="0" width="52"/>
    <col collapsed="false" customWidth="true" hidden="false" outlineLevel="0" max="10" min="10" style="0" width="44"/>
    <col collapsed="false" customWidth="true" hidden="false" outlineLevel="0" max="11" min="11" style="0" width="11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22.35" hidden="false" customHeight="false" outlineLevel="0" collapsed="false">
      <c r="A2" s="2" t="s">
        <v>11</v>
      </c>
      <c r="B2" s="3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5" t="s">
        <v>17</v>
      </c>
      <c r="H2" s="5" t="s">
        <v>18</v>
      </c>
      <c r="I2" s="4" t="s">
        <v>19</v>
      </c>
      <c r="J2" s="4" t="s">
        <v>20</v>
      </c>
      <c r="K2" s="4" t="s">
        <v>21</v>
      </c>
    </row>
    <row r="3" customFormat="false" ht="32.8" hidden="false" customHeight="false" outlineLevel="0" collapsed="false">
      <c r="A3" s="2" t="s">
        <v>22</v>
      </c>
      <c r="B3" s="4" t="s">
        <v>12</v>
      </c>
      <c r="C3" s="4" t="s">
        <v>23</v>
      </c>
      <c r="D3" s="4" t="s">
        <v>24</v>
      </c>
      <c r="E3" s="4" t="s">
        <v>25</v>
      </c>
      <c r="F3" s="4" t="s">
        <v>11</v>
      </c>
      <c r="G3" s="5" t="s">
        <v>17</v>
      </c>
      <c r="H3" s="6" t="s">
        <v>26</v>
      </c>
      <c r="I3" s="4" t="s">
        <v>27</v>
      </c>
      <c r="J3" s="4" t="s">
        <v>28</v>
      </c>
      <c r="K3" s="4" t="s">
        <v>21</v>
      </c>
    </row>
    <row r="4" customFormat="false" ht="22.35" hidden="false" customHeight="false" outlineLevel="0" collapsed="false">
      <c r="A4" s="2" t="s">
        <v>29</v>
      </c>
      <c r="B4" s="4" t="s">
        <v>12</v>
      </c>
      <c r="C4" s="4" t="s">
        <v>30</v>
      </c>
      <c r="D4" s="4" t="s">
        <v>31</v>
      </c>
      <c r="E4" s="4" t="s">
        <v>25</v>
      </c>
      <c r="F4" s="4" t="s">
        <v>22</v>
      </c>
      <c r="G4" s="5" t="s">
        <v>32</v>
      </c>
      <c r="H4" s="7" t="s">
        <v>33</v>
      </c>
      <c r="I4" s="4" t="s">
        <v>34</v>
      </c>
      <c r="J4" s="4" t="s">
        <v>35</v>
      </c>
      <c r="K4" s="4" t="s">
        <v>21</v>
      </c>
    </row>
    <row r="5" customFormat="false" ht="22.35" hidden="false" customHeight="false" outlineLevel="0" collapsed="false">
      <c r="A5" s="2" t="s">
        <v>36</v>
      </c>
      <c r="B5" s="4" t="s">
        <v>12</v>
      </c>
      <c r="C5" s="4" t="s">
        <v>37</v>
      </c>
      <c r="D5" s="4" t="s">
        <v>38</v>
      </c>
      <c r="E5" s="4" t="s">
        <v>39</v>
      </c>
      <c r="F5" s="4" t="s">
        <v>22</v>
      </c>
      <c r="G5" s="5" t="s">
        <v>17</v>
      </c>
      <c r="H5" s="7" t="s">
        <v>33</v>
      </c>
      <c r="I5" s="4" t="s">
        <v>40</v>
      </c>
      <c r="J5" s="4" t="s">
        <v>41</v>
      </c>
      <c r="K5" s="4" t="s">
        <v>21</v>
      </c>
    </row>
    <row r="6" customFormat="false" ht="22.35" hidden="false" customHeight="false" outlineLevel="0" collapsed="false">
      <c r="A6" s="2" t="s">
        <v>42</v>
      </c>
      <c r="B6" s="4" t="s">
        <v>12</v>
      </c>
      <c r="C6" s="4" t="s">
        <v>43</v>
      </c>
      <c r="D6" s="4" t="s">
        <v>44</v>
      </c>
      <c r="E6" s="4" t="s">
        <v>45</v>
      </c>
      <c r="F6" s="4" t="s">
        <v>22</v>
      </c>
      <c r="G6" s="5" t="s">
        <v>46</v>
      </c>
      <c r="H6" s="6" t="s">
        <v>26</v>
      </c>
      <c r="I6" s="4" t="s">
        <v>47</v>
      </c>
      <c r="J6" s="4" t="s">
        <v>48</v>
      </c>
      <c r="K6" s="4" t="s">
        <v>21</v>
      </c>
    </row>
    <row r="7" customFormat="false" ht="22.35" hidden="false" customHeight="false" outlineLevel="0" collapsed="false">
      <c r="A7" s="2" t="s">
        <v>49</v>
      </c>
      <c r="B7" s="4" t="s">
        <v>12</v>
      </c>
      <c r="C7" s="4" t="s">
        <v>50</v>
      </c>
      <c r="D7" s="4" t="s">
        <v>51</v>
      </c>
      <c r="E7" s="4" t="s">
        <v>15</v>
      </c>
      <c r="F7" s="4" t="s">
        <v>11</v>
      </c>
      <c r="G7" s="5" t="s">
        <v>17</v>
      </c>
      <c r="H7" s="5" t="s">
        <v>18</v>
      </c>
      <c r="I7" s="4" t="s">
        <v>16</v>
      </c>
      <c r="J7" s="4" t="s">
        <v>52</v>
      </c>
      <c r="K7" s="4" t="s">
        <v>21</v>
      </c>
    </row>
    <row r="8" customFormat="false" ht="22.35" hidden="false" customHeight="false" outlineLevel="0" collapsed="false">
      <c r="A8" s="2" t="s">
        <v>53</v>
      </c>
      <c r="B8" s="3" t="s">
        <v>54</v>
      </c>
      <c r="C8" s="4" t="s">
        <v>55</v>
      </c>
      <c r="D8" s="4" t="s">
        <v>56</v>
      </c>
      <c r="E8" s="4" t="s">
        <v>57</v>
      </c>
      <c r="F8" s="4" t="s">
        <v>49</v>
      </c>
      <c r="G8" s="5" t="s">
        <v>17</v>
      </c>
      <c r="H8" s="5" t="s">
        <v>18</v>
      </c>
      <c r="I8" s="4" t="s">
        <v>16</v>
      </c>
      <c r="J8" s="4" t="s">
        <v>58</v>
      </c>
      <c r="K8" s="4" t="s">
        <v>21</v>
      </c>
    </row>
    <row r="9" customFormat="false" ht="22.35" hidden="false" customHeight="false" outlineLevel="0" collapsed="false">
      <c r="A9" s="2" t="s">
        <v>59</v>
      </c>
      <c r="B9" s="4" t="s">
        <v>54</v>
      </c>
      <c r="C9" s="4" t="s">
        <v>60</v>
      </c>
      <c r="D9" s="4" t="s">
        <v>61</v>
      </c>
      <c r="E9" s="4" t="s">
        <v>57</v>
      </c>
      <c r="F9" s="4" t="s">
        <v>53</v>
      </c>
      <c r="G9" s="5" t="s">
        <v>46</v>
      </c>
      <c r="H9" s="5" t="s">
        <v>18</v>
      </c>
      <c r="I9" s="4" t="s">
        <v>16</v>
      </c>
      <c r="J9" s="4" t="s">
        <v>62</v>
      </c>
      <c r="K9" s="4" t="s">
        <v>21</v>
      </c>
    </row>
    <row r="10" customFormat="false" ht="22.35" hidden="false" customHeight="false" outlineLevel="0" collapsed="false">
      <c r="A10" s="2" t="s">
        <v>63</v>
      </c>
      <c r="B10" s="4" t="s">
        <v>54</v>
      </c>
      <c r="C10" s="4" t="s">
        <v>64</v>
      </c>
      <c r="D10" s="4" t="s">
        <v>65</v>
      </c>
      <c r="E10" s="4" t="s">
        <v>25</v>
      </c>
      <c r="F10" s="4" t="s">
        <v>66</v>
      </c>
      <c r="G10" s="5" t="s">
        <v>17</v>
      </c>
      <c r="H10" s="5" t="s">
        <v>18</v>
      </c>
      <c r="I10" s="4" t="s">
        <v>67</v>
      </c>
      <c r="J10" s="4" t="s">
        <v>68</v>
      </c>
      <c r="K10" s="4" t="s">
        <v>21</v>
      </c>
    </row>
    <row r="11" customFormat="false" ht="22.35" hidden="false" customHeight="false" outlineLevel="0" collapsed="false">
      <c r="A11" s="2" t="s">
        <v>69</v>
      </c>
      <c r="B11" s="4" t="s">
        <v>54</v>
      </c>
      <c r="C11" s="4" t="s">
        <v>70</v>
      </c>
      <c r="D11" s="4" t="s">
        <v>71</v>
      </c>
      <c r="E11" s="4" t="s">
        <v>72</v>
      </c>
      <c r="F11" s="4" t="s">
        <v>63</v>
      </c>
      <c r="G11" s="5" t="s">
        <v>17</v>
      </c>
      <c r="H11" s="6" t="s">
        <v>26</v>
      </c>
      <c r="I11" s="4" t="s">
        <v>73</v>
      </c>
      <c r="J11" s="4" t="s">
        <v>74</v>
      </c>
      <c r="K11" s="4" t="s">
        <v>21</v>
      </c>
    </row>
    <row r="12" customFormat="false" ht="22.35" hidden="false" customHeight="false" outlineLevel="0" collapsed="false">
      <c r="A12" s="2" t="s">
        <v>75</v>
      </c>
      <c r="B12" s="4" t="s">
        <v>54</v>
      </c>
      <c r="C12" s="4" t="s">
        <v>76</v>
      </c>
      <c r="D12" s="4" t="s">
        <v>77</v>
      </c>
      <c r="E12" s="4" t="s">
        <v>78</v>
      </c>
      <c r="F12" s="4" t="s">
        <v>69</v>
      </c>
      <c r="G12" s="5" t="s">
        <v>46</v>
      </c>
      <c r="H12" s="5" t="s">
        <v>18</v>
      </c>
      <c r="I12" s="4" t="s">
        <v>16</v>
      </c>
      <c r="J12" s="4" t="s">
        <v>79</v>
      </c>
      <c r="K12" s="4" t="s">
        <v>21</v>
      </c>
    </row>
    <row r="13" customFormat="false" ht="22.35" hidden="false" customHeight="false" outlineLevel="0" collapsed="false">
      <c r="A13" s="2" t="s">
        <v>80</v>
      </c>
      <c r="B13" s="4" t="s">
        <v>54</v>
      </c>
      <c r="C13" s="4" t="s">
        <v>81</v>
      </c>
      <c r="D13" s="4" t="s">
        <v>82</v>
      </c>
      <c r="E13" s="4" t="s">
        <v>83</v>
      </c>
      <c r="F13" s="4" t="s">
        <v>75</v>
      </c>
      <c r="G13" s="5" t="s">
        <v>17</v>
      </c>
      <c r="H13" s="6" t="s">
        <v>26</v>
      </c>
      <c r="I13" s="4" t="s">
        <v>84</v>
      </c>
      <c r="J13" s="4" t="s">
        <v>85</v>
      </c>
      <c r="K13" s="4" t="s">
        <v>21</v>
      </c>
    </row>
    <row r="14" customFormat="false" ht="22.35" hidden="false" customHeight="false" outlineLevel="0" collapsed="false">
      <c r="A14" s="2" t="s">
        <v>86</v>
      </c>
      <c r="B14" s="4" t="s">
        <v>54</v>
      </c>
      <c r="C14" s="4" t="s">
        <v>87</v>
      </c>
      <c r="D14" s="4" t="s">
        <v>88</v>
      </c>
      <c r="E14" s="4" t="s">
        <v>72</v>
      </c>
      <c r="F14" s="4" t="s">
        <v>69</v>
      </c>
      <c r="G14" s="5" t="s">
        <v>32</v>
      </c>
      <c r="H14" s="7" t="s">
        <v>33</v>
      </c>
      <c r="I14" s="4" t="s">
        <v>89</v>
      </c>
      <c r="J14" s="4" t="s">
        <v>90</v>
      </c>
      <c r="K14" s="4" t="s">
        <v>21</v>
      </c>
    </row>
    <row r="15" customFormat="false" ht="22.35" hidden="false" customHeight="false" outlineLevel="0" collapsed="false">
      <c r="A15" s="2" t="s">
        <v>91</v>
      </c>
      <c r="B15" s="4" t="s">
        <v>54</v>
      </c>
      <c r="C15" s="4" t="s">
        <v>92</v>
      </c>
      <c r="D15" s="4" t="s">
        <v>93</v>
      </c>
      <c r="E15" s="4" t="s">
        <v>94</v>
      </c>
      <c r="F15" s="4" t="s">
        <v>95</v>
      </c>
      <c r="G15" s="5" t="s">
        <v>17</v>
      </c>
      <c r="H15" s="5" t="s">
        <v>18</v>
      </c>
      <c r="I15" s="4" t="s">
        <v>96</v>
      </c>
      <c r="J15" s="4" t="s">
        <v>97</v>
      </c>
      <c r="K15" s="4" t="s">
        <v>21</v>
      </c>
    </row>
    <row r="16" customFormat="false" ht="22.35" hidden="false" customHeight="false" outlineLevel="0" collapsed="false">
      <c r="A16" s="2" t="s">
        <v>98</v>
      </c>
      <c r="B16" s="4" t="s">
        <v>54</v>
      </c>
      <c r="C16" s="4" t="s">
        <v>99</v>
      </c>
      <c r="D16" s="4" t="s">
        <v>100</v>
      </c>
      <c r="E16" s="4" t="s">
        <v>101</v>
      </c>
      <c r="F16" s="4" t="s">
        <v>63</v>
      </c>
      <c r="G16" s="5" t="s">
        <v>32</v>
      </c>
      <c r="H16" s="7" t="s">
        <v>33</v>
      </c>
      <c r="I16" s="4" t="s">
        <v>102</v>
      </c>
      <c r="J16" s="4" t="s">
        <v>103</v>
      </c>
      <c r="K16" s="4" t="s">
        <v>21</v>
      </c>
    </row>
    <row r="17" customFormat="false" ht="22.35" hidden="false" customHeight="false" outlineLevel="0" collapsed="false">
      <c r="A17" s="2" t="s">
        <v>104</v>
      </c>
      <c r="B17" s="4" t="s">
        <v>54</v>
      </c>
      <c r="C17" s="4" t="s">
        <v>105</v>
      </c>
      <c r="D17" s="4" t="s">
        <v>106</v>
      </c>
      <c r="E17" s="4" t="s">
        <v>107</v>
      </c>
      <c r="F17" s="4" t="s">
        <v>108</v>
      </c>
      <c r="G17" s="5" t="s">
        <v>17</v>
      </c>
      <c r="H17" s="6" t="s">
        <v>26</v>
      </c>
      <c r="I17" s="4" t="s">
        <v>109</v>
      </c>
      <c r="J17" s="4" t="s">
        <v>110</v>
      </c>
      <c r="K17" s="4" t="s">
        <v>21</v>
      </c>
    </row>
    <row r="18" customFormat="false" ht="22.35" hidden="false" customHeight="false" outlineLevel="0" collapsed="false">
      <c r="A18" s="2" t="s">
        <v>111</v>
      </c>
      <c r="B18" s="4" t="s">
        <v>54</v>
      </c>
      <c r="C18" s="4" t="s">
        <v>112</v>
      </c>
      <c r="D18" s="4" t="s">
        <v>113</v>
      </c>
      <c r="E18" s="4" t="s">
        <v>114</v>
      </c>
      <c r="F18" s="4" t="s">
        <v>91</v>
      </c>
      <c r="G18" s="5" t="s">
        <v>17</v>
      </c>
      <c r="H18" s="6" t="s">
        <v>26</v>
      </c>
      <c r="I18" s="4" t="s">
        <v>115</v>
      </c>
      <c r="J18" s="4" t="s">
        <v>116</v>
      </c>
      <c r="K18" s="4" t="s">
        <v>21</v>
      </c>
    </row>
    <row r="19" customFormat="false" ht="22.35" hidden="false" customHeight="false" outlineLevel="0" collapsed="false">
      <c r="A19" s="2" t="s">
        <v>117</v>
      </c>
      <c r="B19" s="4" t="s">
        <v>54</v>
      </c>
      <c r="C19" s="4" t="s">
        <v>118</v>
      </c>
      <c r="D19" s="4" t="s">
        <v>119</v>
      </c>
      <c r="E19" s="4" t="s">
        <v>120</v>
      </c>
      <c r="F19" s="4" t="s">
        <v>104</v>
      </c>
      <c r="G19" s="5" t="s">
        <v>32</v>
      </c>
      <c r="H19" s="6" t="s">
        <v>26</v>
      </c>
      <c r="I19" s="4" t="s">
        <v>121</v>
      </c>
      <c r="J19" s="4" t="s">
        <v>122</v>
      </c>
      <c r="K19" s="4" t="s">
        <v>21</v>
      </c>
    </row>
    <row r="20" customFormat="false" ht="15" hidden="false" customHeight="false" outlineLevel="0" collapsed="false">
      <c r="A20" s="2" t="s">
        <v>123</v>
      </c>
      <c r="B20" s="4" t="s">
        <v>54</v>
      </c>
      <c r="C20" s="4" t="s">
        <v>124</v>
      </c>
      <c r="D20" s="4" t="s">
        <v>125</v>
      </c>
      <c r="E20" s="4" t="s">
        <v>126</v>
      </c>
      <c r="F20" s="4" t="s">
        <v>117</v>
      </c>
      <c r="G20" s="5" t="s">
        <v>17</v>
      </c>
      <c r="H20" s="5" t="s">
        <v>18</v>
      </c>
      <c r="I20" s="4" t="s">
        <v>127</v>
      </c>
      <c r="J20" s="4" t="s">
        <v>128</v>
      </c>
      <c r="K20" s="4" t="s">
        <v>21</v>
      </c>
    </row>
    <row r="21" customFormat="false" ht="22.35" hidden="false" customHeight="false" outlineLevel="0" collapsed="false">
      <c r="A21" s="2" t="s">
        <v>129</v>
      </c>
      <c r="B21" s="3" t="s">
        <v>130</v>
      </c>
      <c r="C21" s="4" t="s">
        <v>131</v>
      </c>
      <c r="D21" s="4" t="s">
        <v>132</v>
      </c>
      <c r="E21" s="4" t="s">
        <v>133</v>
      </c>
      <c r="F21" s="4" t="s">
        <v>123</v>
      </c>
      <c r="G21" s="5" t="s">
        <v>17</v>
      </c>
      <c r="H21" s="5" t="s">
        <v>18</v>
      </c>
      <c r="I21" s="4" t="s">
        <v>16</v>
      </c>
      <c r="J21" s="4" t="s">
        <v>134</v>
      </c>
      <c r="K21" s="4" t="s">
        <v>21</v>
      </c>
    </row>
    <row r="22" customFormat="false" ht="22.35" hidden="false" customHeight="false" outlineLevel="0" collapsed="false">
      <c r="A22" s="2" t="s">
        <v>135</v>
      </c>
      <c r="B22" s="4" t="s">
        <v>130</v>
      </c>
      <c r="C22" s="4" t="s">
        <v>136</v>
      </c>
      <c r="D22" s="4" t="s">
        <v>137</v>
      </c>
      <c r="E22" s="4" t="s">
        <v>133</v>
      </c>
      <c r="F22" s="4" t="s">
        <v>129</v>
      </c>
      <c r="G22" s="5" t="s">
        <v>46</v>
      </c>
      <c r="H22" s="5" t="s">
        <v>18</v>
      </c>
      <c r="I22" s="4" t="s">
        <v>138</v>
      </c>
      <c r="J22" s="4" t="s">
        <v>139</v>
      </c>
      <c r="K22" s="4" t="s">
        <v>21</v>
      </c>
    </row>
    <row r="23" customFormat="false" ht="22.35" hidden="false" customHeight="false" outlineLevel="0" collapsed="false">
      <c r="A23" s="2" t="s">
        <v>140</v>
      </c>
      <c r="B23" s="4" t="s">
        <v>130</v>
      </c>
      <c r="C23" s="4" t="s">
        <v>141</v>
      </c>
      <c r="D23" s="4" t="s">
        <v>142</v>
      </c>
      <c r="E23" s="4" t="s">
        <v>133</v>
      </c>
      <c r="F23" s="4" t="s">
        <v>135</v>
      </c>
      <c r="G23" s="5" t="s">
        <v>17</v>
      </c>
      <c r="H23" s="6" t="s">
        <v>26</v>
      </c>
      <c r="I23" s="4" t="s">
        <v>143</v>
      </c>
      <c r="J23" s="4" t="s">
        <v>144</v>
      </c>
      <c r="K23" s="4" t="s">
        <v>21</v>
      </c>
    </row>
    <row r="24" customFormat="false" ht="22.35" hidden="false" customHeight="false" outlineLevel="0" collapsed="false">
      <c r="A24" s="2" t="s">
        <v>145</v>
      </c>
      <c r="B24" s="4" t="s">
        <v>130</v>
      </c>
      <c r="C24" s="4" t="s">
        <v>146</v>
      </c>
      <c r="D24" s="4" t="s">
        <v>147</v>
      </c>
      <c r="E24" s="4" t="s">
        <v>94</v>
      </c>
      <c r="F24" s="4" t="s">
        <v>140</v>
      </c>
      <c r="G24" s="5" t="s">
        <v>17</v>
      </c>
      <c r="H24" s="5" t="s">
        <v>18</v>
      </c>
      <c r="I24" s="4" t="s">
        <v>148</v>
      </c>
      <c r="J24" s="4" t="s">
        <v>149</v>
      </c>
      <c r="K24" s="4" t="s">
        <v>21</v>
      </c>
    </row>
    <row r="25" customFormat="false" ht="22.35" hidden="false" customHeight="false" outlineLevel="0" collapsed="false">
      <c r="A25" s="2" t="s">
        <v>150</v>
      </c>
      <c r="B25" s="4" t="s">
        <v>130</v>
      </c>
      <c r="C25" s="4" t="s">
        <v>151</v>
      </c>
      <c r="D25" s="4" t="s">
        <v>152</v>
      </c>
      <c r="E25" s="4" t="s">
        <v>153</v>
      </c>
      <c r="F25" s="4" t="s">
        <v>145</v>
      </c>
      <c r="G25" s="5" t="s">
        <v>32</v>
      </c>
      <c r="H25" s="7" t="s">
        <v>33</v>
      </c>
      <c r="I25" s="4" t="s">
        <v>154</v>
      </c>
      <c r="J25" s="4" t="s">
        <v>155</v>
      </c>
      <c r="K25" s="4" t="s">
        <v>21</v>
      </c>
    </row>
    <row r="26" customFormat="false" ht="22.35" hidden="false" customHeight="false" outlineLevel="0" collapsed="false">
      <c r="A26" s="2" t="s">
        <v>156</v>
      </c>
      <c r="B26" s="4" t="s">
        <v>130</v>
      </c>
      <c r="C26" s="4" t="s">
        <v>157</v>
      </c>
      <c r="D26" s="4" t="s">
        <v>158</v>
      </c>
      <c r="E26" s="4" t="s">
        <v>159</v>
      </c>
      <c r="F26" s="4" t="s">
        <v>129</v>
      </c>
      <c r="G26" s="5" t="s">
        <v>46</v>
      </c>
      <c r="H26" s="5" t="s">
        <v>18</v>
      </c>
      <c r="I26" s="4" t="s">
        <v>160</v>
      </c>
      <c r="J26" s="4" t="s">
        <v>161</v>
      </c>
      <c r="K26" s="4" t="s">
        <v>21</v>
      </c>
    </row>
    <row r="27" customFormat="false" ht="22.35" hidden="false" customHeight="false" outlineLevel="0" collapsed="false">
      <c r="A27" s="2" t="s">
        <v>162</v>
      </c>
      <c r="B27" s="3" t="s">
        <v>163</v>
      </c>
      <c r="C27" s="4" t="s">
        <v>164</v>
      </c>
      <c r="D27" s="4" t="s">
        <v>165</v>
      </c>
      <c r="E27" s="4" t="s">
        <v>166</v>
      </c>
      <c r="F27" s="4" t="s">
        <v>145</v>
      </c>
      <c r="G27" s="5" t="s">
        <v>46</v>
      </c>
      <c r="H27" s="6" t="s">
        <v>26</v>
      </c>
      <c r="I27" s="4" t="s">
        <v>167</v>
      </c>
      <c r="J27" s="4" t="s">
        <v>168</v>
      </c>
      <c r="K27" s="4" t="s">
        <v>21</v>
      </c>
    </row>
    <row r="28" customFormat="false" ht="22.35" hidden="false" customHeight="false" outlineLevel="0" collapsed="false">
      <c r="A28" s="2" t="s">
        <v>169</v>
      </c>
      <c r="B28" s="4" t="s">
        <v>163</v>
      </c>
      <c r="C28" s="4" t="s">
        <v>170</v>
      </c>
      <c r="D28" s="4" t="s">
        <v>171</v>
      </c>
      <c r="E28" s="4" t="s">
        <v>172</v>
      </c>
      <c r="F28" s="4" t="s">
        <v>145</v>
      </c>
      <c r="G28" s="5" t="s">
        <v>46</v>
      </c>
      <c r="H28" s="5" t="s">
        <v>18</v>
      </c>
      <c r="I28" s="4" t="s">
        <v>173</v>
      </c>
      <c r="J28" s="4" t="s">
        <v>174</v>
      </c>
      <c r="K28" s="4" t="s">
        <v>21</v>
      </c>
    </row>
    <row r="29" customFormat="false" ht="22.35" hidden="false" customHeight="false" outlineLevel="0" collapsed="false">
      <c r="A29" s="2" t="s">
        <v>175</v>
      </c>
      <c r="B29" s="4" t="s">
        <v>163</v>
      </c>
      <c r="C29" s="4" t="s">
        <v>176</v>
      </c>
      <c r="D29" s="4" t="s">
        <v>177</v>
      </c>
      <c r="E29" s="4" t="s">
        <v>166</v>
      </c>
      <c r="F29" s="4" t="s">
        <v>169</v>
      </c>
      <c r="G29" s="5" t="s">
        <v>17</v>
      </c>
      <c r="H29" s="6" t="s">
        <v>26</v>
      </c>
      <c r="I29" s="4" t="s">
        <v>178</v>
      </c>
      <c r="J29" s="4" t="s">
        <v>179</v>
      </c>
      <c r="K29" s="4" t="s">
        <v>21</v>
      </c>
    </row>
    <row r="30" customFormat="false" ht="22.35" hidden="false" customHeight="false" outlineLevel="0" collapsed="false">
      <c r="A30" s="2" t="s">
        <v>180</v>
      </c>
      <c r="B30" s="4" t="s">
        <v>163</v>
      </c>
      <c r="C30" s="4" t="s">
        <v>181</v>
      </c>
      <c r="D30" s="4" t="s">
        <v>182</v>
      </c>
      <c r="E30" s="4" t="s">
        <v>166</v>
      </c>
      <c r="F30" s="4" t="s">
        <v>175</v>
      </c>
      <c r="G30" s="5" t="s">
        <v>17</v>
      </c>
      <c r="H30" s="6" t="s">
        <v>26</v>
      </c>
      <c r="I30" s="4" t="s">
        <v>183</v>
      </c>
      <c r="J30" s="4" t="s">
        <v>184</v>
      </c>
      <c r="K30" s="4" t="s">
        <v>21</v>
      </c>
    </row>
    <row r="31" customFormat="false" ht="32.8" hidden="false" customHeight="false" outlineLevel="0" collapsed="false">
      <c r="A31" s="2" t="s">
        <v>185</v>
      </c>
      <c r="B31" s="4" t="s">
        <v>163</v>
      </c>
      <c r="C31" s="4" t="s">
        <v>186</v>
      </c>
      <c r="D31" s="4" t="s">
        <v>187</v>
      </c>
      <c r="E31" s="4" t="s">
        <v>188</v>
      </c>
      <c r="F31" s="4" t="s">
        <v>98</v>
      </c>
      <c r="G31" s="5" t="s">
        <v>32</v>
      </c>
      <c r="H31" s="7" t="s">
        <v>33</v>
      </c>
      <c r="I31" s="4" t="s">
        <v>189</v>
      </c>
      <c r="J31" s="4" t="s">
        <v>190</v>
      </c>
      <c r="K31" s="4" t="s">
        <v>21</v>
      </c>
    </row>
    <row r="32" customFormat="false" ht="22.35" hidden="false" customHeight="false" outlineLevel="0" collapsed="false">
      <c r="A32" s="2" t="s">
        <v>191</v>
      </c>
      <c r="B32" s="4" t="s">
        <v>163</v>
      </c>
      <c r="C32" s="4" t="s">
        <v>192</v>
      </c>
      <c r="D32" s="4" t="s">
        <v>193</v>
      </c>
      <c r="E32" s="4" t="s">
        <v>194</v>
      </c>
      <c r="F32" s="4" t="s">
        <v>185</v>
      </c>
      <c r="G32" s="5" t="s">
        <v>17</v>
      </c>
      <c r="H32" s="6" t="s">
        <v>26</v>
      </c>
      <c r="I32" s="4" t="s">
        <v>195</v>
      </c>
      <c r="J32" s="4" t="s">
        <v>196</v>
      </c>
      <c r="K32" s="4" t="s">
        <v>21</v>
      </c>
    </row>
    <row r="33" customFormat="false" ht="22.35" hidden="false" customHeight="false" outlineLevel="0" collapsed="false">
      <c r="A33" s="2" t="s">
        <v>197</v>
      </c>
      <c r="B33" s="4" t="s">
        <v>163</v>
      </c>
      <c r="C33" s="4" t="s">
        <v>198</v>
      </c>
      <c r="D33" s="4" t="s">
        <v>199</v>
      </c>
      <c r="E33" s="4" t="s">
        <v>200</v>
      </c>
      <c r="F33" s="4" t="s">
        <v>180</v>
      </c>
      <c r="G33" s="5" t="s">
        <v>32</v>
      </c>
      <c r="H33" s="7" t="s">
        <v>33</v>
      </c>
      <c r="I33" s="4" t="s">
        <v>201</v>
      </c>
      <c r="J33" s="4" t="s">
        <v>202</v>
      </c>
      <c r="K33" s="4" t="s">
        <v>21</v>
      </c>
    </row>
    <row r="34" customFormat="false" ht="22.35" hidden="false" customHeight="false" outlineLevel="0" collapsed="false">
      <c r="A34" s="2" t="s">
        <v>203</v>
      </c>
      <c r="B34" s="4" t="s">
        <v>163</v>
      </c>
      <c r="C34" s="4" t="s">
        <v>204</v>
      </c>
      <c r="D34" s="4" t="s">
        <v>205</v>
      </c>
      <c r="E34" s="4" t="s">
        <v>166</v>
      </c>
      <c r="F34" s="4" t="s">
        <v>197</v>
      </c>
      <c r="G34" s="5" t="s">
        <v>17</v>
      </c>
      <c r="H34" s="6" t="s">
        <v>26</v>
      </c>
      <c r="I34" s="4" t="s">
        <v>206</v>
      </c>
      <c r="J34" s="4" t="s">
        <v>207</v>
      </c>
      <c r="K34" s="4" t="s">
        <v>21</v>
      </c>
    </row>
    <row r="35" customFormat="false" ht="32.8" hidden="false" customHeight="false" outlineLevel="0" collapsed="false">
      <c r="A35" s="2" t="s">
        <v>208</v>
      </c>
      <c r="B35" s="4" t="s">
        <v>163</v>
      </c>
      <c r="C35" s="4" t="s">
        <v>209</v>
      </c>
      <c r="D35" s="4" t="s">
        <v>210</v>
      </c>
      <c r="E35" s="4" t="s">
        <v>166</v>
      </c>
      <c r="F35" s="4" t="s">
        <v>191</v>
      </c>
      <c r="G35" s="5" t="s">
        <v>32</v>
      </c>
      <c r="H35" s="7" t="s">
        <v>33</v>
      </c>
      <c r="I35" s="4" t="s">
        <v>211</v>
      </c>
      <c r="J35" s="4" t="s">
        <v>212</v>
      </c>
      <c r="K35" s="4" t="s">
        <v>21</v>
      </c>
    </row>
    <row r="36" customFormat="false" ht="22.35" hidden="false" customHeight="false" outlineLevel="0" collapsed="false">
      <c r="A36" s="2" t="s">
        <v>213</v>
      </c>
      <c r="B36" s="3" t="s">
        <v>214</v>
      </c>
      <c r="C36" s="4" t="s">
        <v>215</v>
      </c>
      <c r="D36" s="4" t="s">
        <v>216</v>
      </c>
      <c r="E36" s="4" t="s">
        <v>217</v>
      </c>
      <c r="F36" s="4" t="s">
        <v>140</v>
      </c>
      <c r="G36" s="5" t="s">
        <v>17</v>
      </c>
      <c r="H36" s="7" t="s">
        <v>33</v>
      </c>
      <c r="I36" s="4" t="s">
        <v>218</v>
      </c>
      <c r="J36" s="4" t="s">
        <v>219</v>
      </c>
      <c r="K36" s="4" t="s">
        <v>21</v>
      </c>
    </row>
    <row r="37" customFormat="false" ht="22.35" hidden="false" customHeight="false" outlineLevel="0" collapsed="false">
      <c r="A37" s="2" t="s">
        <v>220</v>
      </c>
      <c r="B37" s="4" t="s">
        <v>214</v>
      </c>
      <c r="C37" s="4" t="s">
        <v>221</v>
      </c>
      <c r="D37" s="4" t="s">
        <v>222</v>
      </c>
      <c r="E37" s="4" t="s">
        <v>223</v>
      </c>
      <c r="F37" s="4" t="s">
        <v>224</v>
      </c>
      <c r="G37" s="5" t="s">
        <v>17</v>
      </c>
      <c r="H37" s="6" t="s">
        <v>26</v>
      </c>
      <c r="I37" s="4" t="s">
        <v>225</v>
      </c>
      <c r="J37" s="4" t="s">
        <v>226</v>
      </c>
      <c r="K37" s="4" t="s">
        <v>21</v>
      </c>
    </row>
    <row r="38" customFormat="false" ht="22.35" hidden="false" customHeight="false" outlineLevel="0" collapsed="false">
      <c r="A38" s="2" t="s">
        <v>227</v>
      </c>
      <c r="B38" s="4" t="s">
        <v>214</v>
      </c>
      <c r="C38" s="4" t="s">
        <v>228</v>
      </c>
      <c r="D38" s="4" t="s">
        <v>229</v>
      </c>
      <c r="E38" s="4" t="s">
        <v>230</v>
      </c>
      <c r="F38" s="4" t="s">
        <v>220</v>
      </c>
      <c r="G38" s="5" t="s">
        <v>17</v>
      </c>
      <c r="H38" s="6" t="s">
        <v>26</v>
      </c>
      <c r="I38" s="4" t="s">
        <v>231</v>
      </c>
      <c r="J38" s="4" t="s">
        <v>232</v>
      </c>
      <c r="K38" s="4" t="s">
        <v>21</v>
      </c>
    </row>
    <row r="39" customFormat="false" ht="22.35" hidden="false" customHeight="false" outlineLevel="0" collapsed="false">
      <c r="A39" s="2" t="s">
        <v>233</v>
      </c>
      <c r="B39" s="4" t="s">
        <v>214</v>
      </c>
      <c r="C39" s="4" t="s">
        <v>234</v>
      </c>
      <c r="D39" s="4" t="s">
        <v>235</v>
      </c>
      <c r="E39" s="4" t="s">
        <v>230</v>
      </c>
      <c r="F39" s="4" t="s">
        <v>227</v>
      </c>
      <c r="G39" s="5" t="s">
        <v>17</v>
      </c>
      <c r="H39" s="7" t="s">
        <v>33</v>
      </c>
      <c r="I39" s="4" t="s">
        <v>236</v>
      </c>
      <c r="J39" s="4" t="s">
        <v>237</v>
      </c>
      <c r="K39" s="4" t="s">
        <v>21</v>
      </c>
    </row>
    <row r="40" customFormat="false" ht="22.35" hidden="false" customHeight="false" outlineLevel="0" collapsed="false">
      <c r="A40" s="2" t="s">
        <v>238</v>
      </c>
      <c r="B40" s="4" t="s">
        <v>214</v>
      </c>
      <c r="C40" s="4" t="s">
        <v>239</v>
      </c>
      <c r="D40" s="4" t="s">
        <v>240</v>
      </c>
      <c r="E40" s="4" t="s">
        <v>241</v>
      </c>
      <c r="F40" s="4" t="s">
        <v>233</v>
      </c>
      <c r="G40" s="5" t="s">
        <v>32</v>
      </c>
      <c r="H40" s="6" t="s">
        <v>26</v>
      </c>
      <c r="I40" s="4" t="s">
        <v>242</v>
      </c>
      <c r="J40" s="4" t="s">
        <v>243</v>
      </c>
      <c r="K40" s="4" t="s">
        <v>21</v>
      </c>
    </row>
    <row r="41" customFormat="false" ht="22.35" hidden="false" customHeight="false" outlineLevel="0" collapsed="false">
      <c r="A41" s="2" t="s">
        <v>244</v>
      </c>
      <c r="B41" s="3" t="s">
        <v>245</v>
      </c>
      <c r="C41" s="4" t="s">
        <v>246</v>
      </c>
      <c r="D41" s="4" t="s">
        <v>247</v>
      </c>
      <c r="E41" s="4" t="s">
        <v>248</v>
      </c>
      <c r="F41" s="4" t="s">
        <v>220</v>
      </c>
      <c r="G41" s="5" t="s">
        <v>17</v>
      </c>
      <c r="H41" s="5" t="s">
        <v>18</v>
      </c>
      <c r="I41" s="4" t="s">
        <v>16</v>
      </c>
      <c r="J41" s="4" t="s">
        <v>249</v>
      </c>
      <c r="K41" s="4" t="s">
        <v>21</v>
      </c>
    </row>
    <row r="42" customFormat="false" ht="22.35" hidden="false" customHeight="false" outlineLevel="0" collapsed="false">
      <c r="A42" s="2" t="s">
        <v>250</v>
      </c>
      <c r="B42" s="4" t="s">
        <v>245</v>
      </c>
      <c r="C42" s="4" t="s">
        <v>251</v>
      </c>
      <c r="D42" s="4" t="s">
        <v>252</v>
      </c>
      <c r="E42" s="4" t="s">
        <v>248</v>
      </c>
      <c r="F42" s="4" t="s">
        <v>253</v>
      </c>
      <c r="G42" s="5" t="s">
        <v>17</v>
      </c>
      <c r="H42" s="7" t="s">
        <v>33</v>
      </c>
      <c r="I42" s="4" t="s">
        <v>254</v>
      </c>
      <c r="J42" s="4" t="s">
        <v>255</v>
      </c>
      <c r="K42" s="4" t="s">
        <v>21</v>
      </c>
    </row>
    <row r="43" customFormat="false" ht="32.8" hidden="false" customHeight="false" outlineLevel="0" collapsed="false">
      <c r="A43" s="2" t="s">
        <v>256</v>
      </c>
      <c r="B43" s="4" t="s">
        <v>245</v>
      </c>
      <c r="C43" s="4" t="s">
        <v>257</v>
      </c>
      <c r="D43" s="4" t="s">
        <v>258</v>
      </c>
      <c r="E43" s="4" t="s">
        <v>248</v>
      </c>
      <c r="F43" s="4" t="s">
        <v>244</v>
      </c>
      <c r="G43" s="5" t="s">
        <v>32</v>
      </c>
      <c r="H43" s="7" t="s">
        <v>33</v>
      </c>
      <c r="I43" s="4" t="s">
        <v>259</v>
      </c>
      <c r="J43" s="4" t="s">
        <v>260</v>
      </c>
      <c r="K43" s="4" t="s">
        <v>21</v>
      </c>
    </row>
    <row r="44" customFormat="false" ht="22.35" hidden="false" customHeight="false" outlineLevel="0" collapsed="false">
      <c r="A44" s="2" t="s">
        <v>261</v>
      </c>
      <c r="B44" s="4" t="s">
        <v>245</v>
      </c>
      <c r="C44" s="4" t="s">
        <v>262</v>
      </c>
      <c r="D44" s="4" t="s">
        <v>263</v>
      </c>
      <c r="E44" s="4" t="s">
        <v>248</v>
      </c>
      <c r="F44" s="4" t="s">
        <v>264</v>
      </c>
      <c r="G44" s="5" t="s">
        <v>17</v>
      </c>
      <c r="H44" s="6" t="s">
        <v>26</v>
      </c>
      <c r="I44" s="4" t="s">
        <v>265</v>
      </c>
      <c r="J44" s="4" t="s">
        <v>266</v>
      </c>
      <c r="K44" s="4" t="s">
        <v>21</v>
      </c>
    </row>
    <row r="45" customFormat="false" ht="22.35" hidden="false" customHeight="false" outlineLevel="0" collapsed="false">
      <c r="A45" s="2" t="s">
        <v>267</v>
      </c>
      <c r="B45" s="4" t="s">
        <v>245</v>
      </c>
      <c r="C45" s="4" t="s">
        <v>268</v>
      </c>
      <c r="D45" s="4" t="s">
        <v>269</v>
      </c>
      <c r="E45" s="4" t="s">
        <v>248</v>
      </c>
      <c r="F45" s="4" t="s">
        <v>250</v>
      </c>
      <c r="G45" s="5" t="s">
        <v>17</v>
      </c>
      <c r="H45" s="6" t="s">
        <v>26</v>
      </c>
      <c r="I45" s="4" t="s">
        <v>270</v>
      </c>
      <c r="J45" s="4" t="s">
        <v>271</v>
      </c>
      <c r="K45" s="4" t="s">
        <v>21</v>
      </c>
    </row>
    <row r="46" customFormat="false" ht="22.35" hidden="false" customHeight="false" outlineLevel="0" collapsed="false">
      <c r="A46" s="2" t="s">
        <v>272</v>
      </c>
      <c r="B46" s="4" t="s">
        <v>245</v>
      </c>
      <c r="C46" s="4" t="s">
        <v>273</v>
      </c>
      <c r="D46" s="4" t="s">
        <v>274</v>
      </c>
      <c r="E46" s="4" t="s">
        <v>248</v>
      </c>
      <c r="F46" s="4" t="s">
        <v>275</v>
      </c>
      <c r="G46" s="5" t="s">
        <v>32</v>
      </c>
      <c r="H46" s="7" t="s">
        <v>33</v>
      </c>
      <c r="I46" s="4" t="s">
        <v>276</v>
      </c>
      <c r="J46" s="4" t="s">
        <v>277</v>
      </c>
      <c r="K46" s="4" t="s">
        <v>21</v>
      </c>
    </row>
    <row r="47" customFormat="false" ht="22.35" hidden="false" customHeight="false" outlineLevel="0" collapsed="false">
      <c r="A47" s="2" t="s">
        <v>278</v>
      </c>
      <c r="B47" s="4" t="s">
        <v>245</v>
      </c>
      <c r="C47" s="4" t="s">
        <v>279</v>
      </c>
      <c r="D47" s="4" t="s">
        <v>280</v>
      </c>
      <c r="E47" s="4" t="s">
        <v>248</v>
      </c>
      <c r="F47" s="4" t="s">
        <v>281</v>
      </c>
      <c r="G47" s="5" t="s">
        <v>17</v>
      </c>
      <c r="H47" s="6" t="s">
        <v>26</v>
      </c>
      <c r="I47" s="4" t="s">
        <v>282</v>
      </c>
      <c r="J47" s="4" t="s">
        <v>283</v>
      </c>
      <c r="K47" s="4" t="s">
        <v>21</v>
      </c>
    </row>
    <row r="48" customFormat="false" ht="22.35" hidden="false" customHeight="false" outlineLevel="0" collapsed="false">
      <c r="A48" s="2" t="s">
        <v>284</v>
      </c>
      <c r="B48" s="4" t="s">
        <v>245</v>
      </c>
      <c r="C48" s="4" t="s">
        <v>285</v>
      </c>
      <c r="D48" s="4" t="s">
        <v>286</v>
      </c>
      <c r="E48" s="4" t="s">
        <v>248</v>
      </c>
      <c r="F48" s="4" t="s">
        <v>250</v>
      </c>
      <c r="G48" s="5" t="s">
        <v>46</v>
      </c>
      <c r="H48" s="5" t="s">
        <v>18</v>
      </c>
      <c r="I48" s="4" t="s">
        <v>16</v>
      </c>
      <c r="J48" s="4" t="s">
        <v>287</v>
      </c>
      <c r="K48" s="4" t="s">
        <v>21</v>
      </c>
    </row>
    <row r="49" customFormat="false" ht="22.35" hidden="false" customHeight="false" outlineLevel="0" collapsed="false">
      <c r="A49" s="2" t="s">
        <v>288</v>
      </c>
      <c r="B49" s="4" t="s">
        <v>245</v>
      </c>
      <c r="C49" s="4" t="s">
        <v>289</v>
      </c>
      <c r="D49" s="4" t="s">
        <v>290</v>
      </c>
      <c r="E49" s="4" t="s">
        <v>291</v>
      </c>
      <c r="F49" s="4" t="s">
        <v>292</v>
      </c>
      <c r="G49" s="5" t="s">
        <v>46</v>
      </c>
      <c r="H49" s="5" t="s">
        <v>18</v>
      </c>
      <c r="I49" s="4" t="s">
        <v>293</v>
      </c>
      <c r="J49" s="4" t="s">
        <v>294</v>
      </c>
      <c r="K49" s="4" t="s">
        <v>21</v>
      </c>
    </row>
    <row r="50" customFormat="false" ht="22.35" hidden="false" customHeight="false" outlineLevel="0" collapsed="false">
      <c r="A50" s="2" t="s">
        <v>295</v>
      </c>
      <c r="B50" s="3" t="s">
        <v>296</v>
      </c>
      <c r="C50" s="4" t="s">
        <v>297</v>
      </c>
      <c r="D50" s="4" t="s">
        <v>298</v>
      </c>
      <c r="E50" s="4" t="s">
        <v>78</v>
      </c>
      <c r="F50" s="4" t="s">
        <v>123</v>
      </c>
      <c r="G50" s="5" t="s">
        <v>17</v>
      </c>
      <c r="H50" s="6" t="s">
        <v>26</v>
      </c>
      <c r="I50" s="4" t="s">
        <v>299</v>
      </c>
      <c r="J50" s="4" t="s">
        <v>300</v>
      </c>
      <c r="K50" s="4" t="s">
        <v>21</v>
      </c>
    </row>
    <row r="51" customFormat="false" ht="22.35" hidden="false" customHeight="false" outlineLevel="0" collapsed="false">
      <c r="A51" s="2" t="s">
        <v>301</v>
      </c>
      <c r="B51" s="4" t="s">
        <v>296</v>
      </c>
      <c r="C51" s="4" t="s">
        <v>302</v>
      </c>
      <c r="D51" s="4" t="s">
        <v>303</v>
      </c>
      <c r="E51" s="4" t="s">
        <v>304</v>
      </c>
      <c r="F51" s="4" t="s">
        <v>295</v>
      </c>
      <c r="G51" s="5" t="s">
        <v>17</v>
      </c>
      <c r="H51" s="6" t="s">
        <v>26</v>
      </c>
      <c r="I51" s="4" t="s">
        <v>305</v>
      </c>
      <c r="J51" s="4" t="s">
        <v>306</v>
      </c>
      <c r="K51" s="4" t="s">
        <v>21</v>
      </c>
    </row>
    <row r="52" customFormat="false" ht="15" hidden="false" customHeight="false" outlineLevel="0" collapsed="false">
      <c r="A52" s="2" t="s">
        <v>307</v>
      </c>
      <c r="B52" s="4" t="s">
        <v>296</v>
      </c>
      <c r="C52" s="4" t="s">
        <v>308</v>
      </c>
      <c r="D52" s="4" t="s">
        <v>309</v>
      </c>
      <c r="E52" s="4" t="s">
        <v>310</v>
      </c>
      <c r="F52" s="4" t="s">
        <v>301</v>
      </c>
      <c r="G52" s="5" t="s">
        <v>17</v>
      </c>
      <c r="H52" s="5" t="s">
        <v>18</v>
      </c>
      <c r="I52" s="4" t="s">
        <v>311</v>
      </c>
      <c r="J52" s="4" t="s">
        <v>312</v>
      </c>
      <c r="K52" s="4" t="s">
        <v>21</v>
      </c>
    </row>
    <row r="53" customFormat="false" ht="22.35" hidden="false" customHeight="false" outlineLevel="0" collapsed="false">
      <c r="A53" s="2" t="s">
        <v>313</v>
      </c>
      <c r="B53" s="4" t="s">
        <v>296</v>
      </c>
      <c r="C53" s="4" t="s">
        <v>314</v>
      </c>
      <c r="D53" s="4" t="s">
        <v>315</v>
      </c>
      <c r="E53" s="4" t="s">
        <v>78</v>
      </c>
      <c r="F53" s="4" t="s">
        <v>316</v>
      </c>
      <c r="G53" s="5" t="s">
        <v>46</v>
      </c>
      <c r="H53" s="5" t="s">
        <v>18</v>
      </c>
      <c r="I53" s="4" t="s">
        <v>16</v>
      </c>
      <c r="J53" s="4" t="s">
        <v>317</v>
      </c>
      <c r="K53" s="4" t="s">
        <v>21</v>
      </c>
    </row>
    <row r="54" customFormat="false" ht="22.35" hidden="false" customHeight="false" outlineLevel="0" collapsed="false">
      <c r="A54" s="2" t="s">
        <v>318</v>
      </c>
      <c r="B54" s="4" t="s">
        <v>296</v>
      </c>
      <c r="C54" s="4" t="s">
        <v>319</v>
      </c>
      <c r="D54" s="4" t="s">
        <v>320</v>
      </c>
      <c r="E54" s="4" t="s">
        <v>78</v>
      </c>
      <c r="F54" s="4" t="s">
        <v>321</v>
      </c>
      <c r="G54" s="5" t="s">
        <v>17</v>
      </c>
      <c r="H54" s="6" t="s">
        <v>26</v>
      </c>
      <c r="I54" s="4" t="s">
        <v>322</v>
      </c>
      <c r="J54" s="4" t="s">
        <v>323</v>
      </c>
      <c r="K54" s="4" t="s">
        <v>21</v>
      </c>
    </row>
    <row r="55" customFormat="false" ht="22.35" hidden="false" customHeight="false" outlineLevel="0" collapsed="false">
      <c r="A55" s="2" t="s">
        <v>324</v>
      </c>
      <c r="B55" s="3" t="s">
        <v>325</v>
      </c>
      <c r="C55" s="4" t="s">
        <v>326</v>
      </c>
      <c r="D55" s="4" t="s">
        <v>327</v>
      </c>
      <c r="E55" s="4" t="s">
        <v>328</v>
      </c>
      <c r="F55" s="4" t="s">
        <v>123</v>
      </c>
      <c r="G55" s="5" t="s">
        <v>17</v>
      </c>
      <c r="H55" s="6" t="s">
        <v>26</v>
      </c>
      <c r="I55" s="4" t="s">
        <v>329</v>
      </c>
      <c r="J55" s="4" t="s">
        <v>330</v>
      </c>
      <c r="K55" s="4" t="s">
        <v>21</v>
      </c>
    </row>
    <row r="56" customFormat="false" ht="22.35" hidden="false" customHeight="false" outlineLevel="0" collapsed="false">
      <c r="A56" s="2" t="s">
        <v>331</v>
      </c>
      <c r="B56" s="4" t="s">
        <v>325</v>
      </c>
      <c r="C56" s="4" t="s">
        <v>332</v>
      </c>
      <c r="D56" s="4" t="s">
        <v>333</v>
      </c>
      <c r="E56" s="4" t="s">
        <v>328</v>
      </c>
      <c r="F56" s="4" t="s">
        <v>334</v>
      </c>
      <c r="G56" s="5" t="s">
        <v>17</v>
      </c>
      <c r="H56" s="6" t="s">
        <v>26</v>
      </c>
      <c r="I56" s="4" t="s">
        <v>335</v>
      </c>
      <c r="J56" s="4" t="s">
        <v>336</v>
      </c>
      <c r="K56" s="4" t="s">
        <v>21</v>
      </c>
    </row>
    <row r="57" customFormat="false" ht="22.35" hidden="false" customHeight="false" outlineLevel="0" collapsed="false">
      <c r="A57" s="2" t="s">
        <v>337</v>
      </c>
      <c r="B57" s="4" t="s">
        <v>325</v>
      </c>
      <c r="C57" s="4" t="s">
        <v>338</v>
      </c>
      <c r="D57" s="4" t="s">
        <v>339</v>
      </c>
      <c r="E57" s="4" t="s">
        <v>328</v>
      </c>
      <c r="F57" s="4" t="s">
        <v>331</v>
      </c>
      <c r="G57" s="5" t="s">
        <v>46</v>
      </c>
      <c r="H57" s="5" t="s">
        <v>18</v>
      </c>
      <c r="I57" s="4" t="s">
        <v>340</v>
      </c>
      <c r="J57" s="4" t="s">
        <v>341</v>
      </c>
      <c r="K57" s="4" t="s">
        <v>21</v>
      </c>
    </row>
    <row r="58" customFormat="false" ht="22.35" hidden="false" customHeight="false" outlineLevel="0" collapsed="false">
      <c r="A58" s="2" t="s">
        <v>342</v>
      </c>
      <c r="B58" s="4" t="s">
        <v>325</v>
      </c>
      <c r="C58" s="4" t="s">
        <v>343</v>
      </c>
      <c r="D58" s="4" t="s">
        <v>344</v>
      </c>
      <c r="E58" s="4" t="s">
        <v>328</v>
      </c>
      <c r="F58" s="4" t="s">
        <v>337</v>
      </c>
      <c r="G58" s="5" t="s">
        <v>46</v>
      </c>
      <c r="H58" s="5" t="s">
        <v>18</v>
      </c>
      <c r="I58" s="4" t="s">
        <v>16</v>
      </c>
      <c r="J58" s="4" t="s">
        <v>345</v>
      </c>
      <c r="K58" s="4" t="s">
        <v>21</v>
      </c>
    </row>
    <row r="59" customFormat="false" ht="22.35" hidden="false" customHeight="false" outlineLevel="0" collapsed="false">
      <c r="A59" s="2" t="s">
        <v>346</v>
      </c>
      <c r="B59" s="4" t="s">
        <v>325</v>
      </c>
      <c r="C59" s="4" t="s">
        <v>347</v>
      </c>
      <c r="D59" s="4" t="s">
        <v>348</v>
      </c>
      <c r="E59" s="4" t="s">
        <v>349</v>
      </c>
      <c r="F59" s="4" t="s">
        <v>350</v>
      </c>
      <c r="G59" s="5" t="s">
        <v>32</v>
      </c>
      <c r="H59" s="7" t="s">
        <v>33</v>
      </c>
      <c r="I59" s="4" t="s">
        <v>351</v>
      </c>
      <c r="J59" s="4" t="s">
        <v>352</v>
      </c>
      <c r="K59" s="4" t="s">
        <v>21</v>
      </c>
    </row>
    <row r="60" customFormat="false" ht="22.35" hidden="false" customHeight="false" outlineLevel="0" collapsed="false">
      <c r="A60" s="2" t="s">
        <v>353</v>
      </c>
      <c r="B60" s="3" t="s">
        <v>354</v>
      </c>
      <c r="C60" s="4" t="s">
        <v>355</v>
      </c>
      <c r="D60" s="4" t="s">
        <v>356</v>
      </c>
      <c r="E60" s="4" t="s">
        <v>15</v>
      </c>
      <c r="F60" s="4" t="s">
        <v>346</v>
      </c>
      <c r="G60" s="5" t="s">
        <v>17</v>
      </c>
      <c r="H60" s="7" t="s">
        <v>33</v>
      </c>
      <c r="I60" s="4" t="s">
        <v>357</v>
      </c>
      <c r="J60" s="4" t="s">
        <v>358</v>
      </c>
      <c r="K60" s="4" t="s">
        <v>21</v>
      </c>
    </row>
    <row r="61" customFormat="false" ht="22.35" hidden="false" customHeight="false" outlineLevel="0" collapsed="false">
      <c r="A61" s="2" t="s">
        <v>359</v>
      </c>
      <c r="B61" s="4" t="s">
        <v>354</v>
      </c>
      <c r="C61" s="4" t="s">
        <v>360</v>
      </c>
      <c r="D61" s="4" t="s">
        <v>361</v>
      </c>
      <c r="E61" s="4" t="s">
        <v>15</v>
      </c>
      <c r="F61" s="4" t="s">
        <v>353</v>
      </c>
      <c r="G61" s="5" t="s">
        <v>46</v>
      </c>
      <c r="H61" s="6" t="s">
        <v>26</v>
      </c>
      <c r="I61" s="4" t="s">
        <v>362</v>
      </c>
      <c r="J61" s="4" t="s">
        <v>363</v>
      </c>
      <c r="K61" s="4" t="s">
        <v>21</v>
      </c>
    </row>
    <row r="62" customFormat="false" ht="22.35" hidden="false" customHeight="false" outlineLevel="0" collapsed="false">
      <c r="A62" s="2" t="s">
        <v>364</v>
      </c>
      <c r="B62" s="3" t="s">
        <v>365</v>
      </c>
      <c r="C62" s="4" t="s">
        <v>366</v>
      </c>
      <c r="D62" s="4" t="s">
        <v>367</v>
      </c>
      <c r="E62" s="4" t="s">
        <v>120</v>
      </c>
      <c r="F62" s="4" t="s">
        <v>337</v>
      </c>
      <c r="G62" s="5" t="s">
        <v>17</v>
      </c>
      <c r="H62" s="5" t="s">
        <v>18</v>
      </c>
      <c r="I62" s="4" t="s">
        <v>16</v>
      </c>
      <c r="J62" s="4" t="s">
        <v>368</v>
      </c>
      <c r="K62" s="4" t="s">
        <v>21</v>
      </c>
    </row>
    <row r="63" customFormat="false" ht="22.35" hidden="false" customHeight="false" outlineLevel="0" collapsed="false">
      <c r="A63" s="2" t="s">
        <v>369</v>
      </c>
      <c r="B63" s="4" t="s">
        <v>365</v>
      </c>
      <c r="C63" s="4" t="s">
        <v>370</v>
      </c>
      <c r="D63" s="4" t="s">
        <v>371</v>
      </c>
      <c r="E63" s="4" t="s">
        <v>120</v>
      </c>
      <c r="F63" s="4" t="s">
        <v>117</v>
      </c>
      <c r="G63" s="5" t="s">
        <v>17</v>
      </c>
      <c r="H63" s="6" t="s">
        <v>26</v>
      </c>
      <c r="I63" s="4" t="s">
        <v>372</v>
      </c>
      <c r="J63" s="4" t="s">
        <v>373</v>
      </c>
      <c r="K63" s="4" t="s">
        <v>21</v>
      </c>
    </row>
    <row r="64" customFormat="false" ht="15" hidden="false" customHeight="false" outlineLevel="0" collapsed="false">
      <c r="A64" s="2" t="s">
        <v>374</v>
      </c>
      <c r="B64" s="4" t="s">
        <v>365</v>
      </c>
      <c r="C64" s="4" t="s">
        <v>375</v>
      </c>
      <c r="D64" s="4" t="s">
        <v>376</v>
      </c>
      <c r="E64" s="4" t="s">
        <v>120</v>
      </c>
      <c r="F64" s="4" t="s">
        <v>123</v>
      </c>
      <c r="G64" s="5" t="s">
        <v>46</v>
      </c>
      <c r="H64" s="5" t="s">
        <v>18</v>
      </c>
      <c r="I64" s="4" t="s">
        <v>16</v>
      </c>
      <c r="J64" s="4" t="s">
        <v>377</v>
      </c>
      <c r="K64" s="4" t="s">
        <v>21</v>
      </c>
    </row>
  </sheetData>
  <autoFilter ref="A1:K64"/>
  <dataValidations count="1">
    <dataValidation allowBlank="true" errorStyle="stop" operator="between" showDropDown="false" showErrorMessage="false" showInputMessage="false" sqref="K2:K64" type="list">
      <formula1>"To do,In progress,Blocked,Done"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52"/>
    <col collapsed="false" customWidth="true" hidden="false" outlineLevel="0" max="4" min="4" style="0" width="66"/>
    <col collapsed="false" customWidth="true" hidden="false" outlineLevel="0" max="5" min="5" style="0" width="14"/>
  </cols>
  <sheetData>
    <row r="1" customFormat="false" ht="30" hidden="false" customHeight="true" outlineLevel="0" collapsed="false">
      <c r="A1" s="1" t="s">
        <v>378</v>
      </c>
      <c r="B1" s="1" t="s">
        <v>379</v>
      </c>
      <c r="C1" s="1" t="s">
        <v>380</v>
      </c>
      <c r="D1" s="1" t="s">
        <v>381</v>
      </c>
      <c r="E1" s="1" t="s">
        <v>382</v>
      </c>
    </row>
    <row r="2" customFormat="false" ht="22.35" hidden="false" customHeight="false" outlineLevel="0" collapsed="false">
      <c r="A2" s="8" t="s">
        <v>383</v>
      </c>
      <c r="B2" s="4" t="s">
        <v>384</v>
      </c>
      <c r="C2" s="4" t="s">
        <v>385</v>
      </c>
      <c r="D2" s="4" t="s">
        <v>386</v>
      </c>
      <c r="E2" s="5" t="n">
        <f aca="false">COUNTIF(Backlog!$B$2:$B$64,"1 · Vertical slice")</f>
        <v>13</v>
      </c>
    </row>
    <row r="3" customFormat="false" ht="22.35" hidden="false" customHeight="false" outlineLevel="0" collapsed="false">
      <c r="A3" s="8" t="s">
        <v>387</v>
      </c>
      <c r="B3" s="4" t="s">
        <v>388</v>
      </c>
      <c r="C3" s="4" t="s">
        <v>389</v>
      </c>
      <c r="D3" s="4" t="s">
        <v>390</v>
      </c>
      <c r="E3" s="5" t="n">
        <f aca="false">COUNTIF(Backlog!$B$2:$B$64,"3 · Action cards")</f>
        <v>9</v>
      </c>
    </row>
    <row r="4" customFormat="false" ht="15" hidden="false" customHeight="false" outlineLevel="0" collapsed="false">
      <c r="A4" s="8" t="s">
        <v>391</v>
      </c>
      <c r="B4" s="4" t="s">
        <v>392</v>
      </c>
      <c r="C4" s="4" t="s">
        <v>393</v>
      </c>
      <c r="D4" s="4" t="s">
        <v>394</v>
      </c>
      <c r="E4" s="5" t="n">
        <f aca="false">COUNTIF(Backlog!$B$2:$B$64,"5 · Special cards")</f>
        <v>9</v>
      </c>
    </row>
    <row r="5" customFormat="false" ht="22.35" hidden="false" customHeight="false" outlineLevel="0" collapsed="false">
      <c r="A5" s="8" t="s">
        <v>395</v>
      </c>
      <c r="B5" s="4" t="s">
        <v>396</v>
      </c>
      <c r="C5" s="4" t="s">
        <v>397</v>
      </c>
      <c r="D5" s="4" t="s">
        <v>398</v>
      </c>
      <c r="E5" s="5" t="n">
        <f aca="false">COUNTIF(Backlog!$B$2:$B$64,"7 · Robustness")</f>
        <v>5</v>
      </c>
    </row>
    <row r="6" customFormat="false" ht="22.35" hidden="false" customHeight="false" outlineLevel="0" collapsed="false">
      <c r="A6" s="8" t="s">
        <v>399</v>
      </c>
      <c r="B6" s="4" t="s">
        <v>400</v>
      </c>
      <c r="C6" s="4" t="s">
        <v>401</v>
      </c>
      <c r="D6" s="4" t="s">
        <v>402</v>
      </c>
      <c r="E6" s="5" t="n">
        <f aca="false">COUNTIF(Backlog!$B$2:$B$64,"9 · Polish")</f>
        <v>3</v>
      </c>
    </row>
    <row r="8" customFormat="false" ht="15" hidden="false" customHeight="false" outlineLevel="0" collapsed="false">
      <c r="A8" s="9" t="s">
        <v>403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66"/>
    <col collapsed="false" customWidth="true" hidden="false" outlineLevel="0" max="4" min="4" style="0" width="30"/>
    <col collapsed="false" customWidth="true" hidden="false" outlineLevel="0" max="5" min="5" style="0" width="60"/>
    <col collapsed="false" customWidth="true" hidden="false" outlineLevel="0" max="6" min="6" style="0" width="12"/>
  </cols>
  <sheetData>
    <row r="1" customFormat="false" ht="30" hidden="false" customHeight="true" outlineLevel="0" collapsed="false">
      <c r="A1" s="1" t="s">
        <v>404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10</v>
      </c>
    </row>
    <row r="2" customFormat="false" ht="32.8" hidden="false" customHeight="false" outlineLevel="0" collapsed="false">
      <c r="A2" s="10" t="n">
        <v>1</v>
      </c>
      <c r="B2" s="4" t="s">
        <v>409</v>
      </c>
      <c r="C2" s="4" t="s">
        <v>410</v>
      </c>
      <c r="D2" s="11" t="s">
        <v>411</v>
      </c>
      <c r="E2" s="4" t="s">
        <v>412</v>
      </c>
      <c r="F2" s="12" t="s">
        <v>413</v>
      </c>
    </row>
    <row r="3" customFormat="false" ht="22.35" hidden="false" customHeight="false" outlineLevel="0" collapsed="false">
      <c r="A3" s="10" t="n">
        <v>2</v>
      </c>
      <c r="B3" s="4" t="s">
        <v>414</v>
      </c>
      <c r="C3" s="4" t="s">
        <v>415</v>
      </c>
      <c r="D3" s="11" t="s">
        <v>416</v>
      </c>
      <c r="E3" s="4" t="s">
        <v>417</v>
      </c>
      <c r="F3" s="12" t="s">
        <v>413</v>
      </c>
    </row>
    <row r="4" customFormat="false" ht="22.35" hidden="false" customHeight="false" outlineLevel="0" collapsed="false">
      <c r="A4" s="10" t="n">
        <v>3</v>
      </c>
      <c r="B4" s="4" t="s">
        <v>418</v>
      </c>
      <c r="C4" s="4" t="s">
        <v>419</v>
      </c>
      <c r="D4" s="11" t="s">
        <v>11</v>
      </c>
      <c r="E4" s="4" t="s">
        <v>420</v>
      </c>
      <c r="F4" s="12" t="s">
        <v>413</v>
      </c>
    </row>
    <row r="5" customFormat="false" ht="22.35" hidden="false" customHeight="false" outlineLevel="0" collapsed="false">
      <c r="A5" s="10" t="n">
        <v>4</v>
      </c>
      <c r="B5" s="4" t="s">
        <v>421</v>
      </c>
      <c r="C5" s="4" t="s">
        <v>422</v>
      </c>
      <c r="D5" s="11" t="s">
        <v>423</v>
      </c>
      <c r="E5" s="4" t="s">
        <v>424</v>
      </c>
      <c r="F5" s="12" t="s">
        <v>413</v>
      </c>
    </row>
    <row r="6" customFormat="false" ht="22.35" hidden="false" customHeight="false" outlineLevel="0" collapsed="false">
      <c r="A6" s="10" t="n">
        <v>5</v>
      </c>
      <c r="B6" s="4" t="s">
        <v>319</v>
      </c>
      <c r="C6" s="4" t="s">
        <v>425</v>
      </c>
      <c r="D6" s="4" t="s">
        <v>318</v>
      </c>
      <c r="E6" s="4" t="s">
        <v>426</v>
      </c>
      <c r="F6" s="4" t="s">
        <v>413</v>
      </c>
    </row>
    <row r="7" customFormat="false" ht="32.8" hidden="false" customHeight="false" outlineLevel="0" collapsed="false">
      <c r="A7" s="10" t="n">
        <v>6</v>
      </c>
      <c r="B7" s="4" t="s">
        <v>427</v>
      </c>
      <c r="C7" s="4" t="s">
        <v>428</v>
      </c>
      <c r="D7" s="4" t="s">
        <v>261</v>
      </c>
      <c r="E7" s="4" t="s">
        <v>429</v>
      </c>
      <c r="F7" s="4" t="s">
        <v>413</v>
      </c>
    </row>
    <row r="8" customFormat="false" ht="22.35" hidden="false" customHeight="false" outlineLevel="0" collapsed="false">
      <c r="A8" s="10" t="n">
        <v>7</v>
      </c>
      <c r="B8" s="4" t="s">
        <v>430</v>
      </c>
      <c r="C8" s="4" t="s">
        <v>431</v>
      </c>
      <c r="D8" s="4" t="s">
        <v>432</v>
      </c>
      <c r="E8" s="4" t="s">
        <v>433</v>
      </c>
      <c r="F8" s="4" t="s">
        <v>413</v>
      </c>
    </row>
  </sheetData>
  <dataValidations count="1">
    <dataValidation allowBlank="true" errorStyle="stop" operator="between" showDropDown="false" showErrorMessage="false" showInputMessage="false" sqref="F2:F8" type="list">
      <formula1>"Open,Resolved"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08"/>
  </cols>
  <sheetData>
    <row r="1" customFormat="false" ht="16.15" hidden="false" customHeight="false" outlineLevel="0" collapsed="false">
      <c r="A1" s="13" t="s">
        <v>434</v>
      </c>
      <c r="B1" s="14"/>
    </row>
    <row r="2" customFormat="false" ht="15" hidden="false" customHeight="false" outlineLevel="0" collapsed="false">
      <c r="A2" s="15"/>
      <c r="B2" s="14"/>
    </row>
    <row r="3" customFormat="false" ht="22.35" hidden="false" customHeight="false" outlineLevel="0" collapsed="false">
      <c r="A3" s="15" t="s">
        <v>435</v>
      </c>
      <c r="B3" s="14" t="s">
        <v>436</v>
      </c>
    </row>
    <row r="4" customFormat="false" ht="15" hidden="false" customHeight="false" outlineLevel="0" collapsed="false">
      <c r="A4" s="15"/>
      <c r="B4" s="14"/>
    </row>
    <row r="5" customFormat="false" ht="22.35" hidden="false" customHeight="false" outlineLevel="0" collapsed="false">
      <c r="A5" s="15" t="s">
        <v>437</v>
      </c>
      <c r="B5" s="14" t="s">
        <v>438</v>
      </c>
    </row>
    <row r="6" customFormat="false" ht="15" hidden="false" customHeight="false" outlineLevel="0" collapsed="false">
      <c r="A6" s="15"/>
      <c r="B6" s="14"/>
    </row>
    <row r="7" customFormat="false" ht="15" hidden="false" customHeight="false" outlineLevel="0" collapsed="false">
      <c r="A7" s="15" t="s">
        <v>6</v>
      </c>
      <c r="B7" s="14" t="s">
        <v>439</v>
      </c>
    </row>
    <row r="8" customFormat="false" ht="22.35" hidden="false" customHeight="false" outlineLevel="0" collapsed="false">
      <c r="A8" s="15"/>
      <c r="B8" s="14" t="s">
        <v>440</v>
      </c>
    </row>
    <row r="9" customFormat="false" ht="15" hidden="false" customHeight="false" outlineLevel="0" collapsed="false">
      <c r="A9" s="15"/>
      <c r="B9" s="14"/>
    </row>
    <row r="10" customFormat="false" ht="15" hidden="false" customHeight="false" outlineLevel="0" collapsed="false">
      <c r="A10" s="15" t="s">
        <v>7</v>
      </c>
      <c r="B10" s="14" t="s">
        <v>441</v>
      </c>
    </row>
    <row r="11" customFormat="false" ht="15" hidden="false" customHeight="false" outlineLevel="0" collapsed="false">
      <c r="A11" s="15"/>
      <c r="B11" s="14" t="s">
        <v>442</v>
      </c>
    </row>
    <row r="12" customFormat="false" ht="15" hidden="false" customHeight="false" outlineLevel="0" collapsed="false">
      <c r="A12" s="15"/>
      <c r="B12" s="14" t="s">
        <v>443</v>
      </c>
    </row>
    <row r="13" customFormat="false" ht="15" hidden="false" customHeight="false" outlineLevel="0" collapsed="false">
      <c r="A13" s="15"/>
      <c r="B13" s="14"/>
    </row>
    <row r="14" customFormat="false" ht="22.35" hidden="false" customHeight="false" outlineLevel="0" collapsed="false">
      <c r="A14" s="15" t="s">
        <v>444</v>
      </c>
      <c r="B14" s="14" t="s">
        <v>445</v>
      </c>
    </row>
    <row r="15" customFormat="false" ht="15" hidden="false" customHeight="false" outlineLevel="0" collapsed="false">
      <c r="A15" s="15"/>
      <c r="B15" s="14"/>
    </row>
    <row r="16" customFormat="false" ht="22.35" hidden="false" customHeight="false" outlineLevel="0" collapsed="false">
      <c r="A16" s="15" t="s">
        <v>446</v>
      </c>
      <c r="B16" s="14" t="s">
        <v>447</v>
      </c>
    </row>
    <row r="17" customFormat="false" ht="15" hidden="false" customHeight="false" outlineLevel="0" collapsed="false">
      <c r="A17" s="15"/>
      <c r="B17" s="14"/>
    </row>
    <row r="18" customFormat="false" ht="22.35" hidden="false" customHeight="false" outlineLevel="0" collapsed="false">
      <c r="A18" s="15" t="s">
        <v>448</v>
      </c>
      <c r="B18" s="14" t="s">
        <v>449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2026-07-29T12:30:32Z</dcterms:created>
  <dc:creator>openpyxl</dc:creator>
  <dc:description/>
  <dc:language>en-US</dc:language>
  <cp:lastModifiedBy/>
  <dcterms:modified xsi:type="dcterms:W3CDTF">2026-07-29T12:30:32Z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